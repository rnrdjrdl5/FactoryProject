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C48BD764-9FA3-8E43-8B93-A4D806DF4CBB}" xr6:coauthVersionLast="47" xr6:coauthVersionMax="47" xr10:uidLastSave="{00000000-0000-0000-0000-000000000000}"/>
  <bookViews>
    <workbookView xWindow="0" yWindow="500" windowWidth="51200" windowHeight="26600" activeTab="10" xr2:uid="{940BCB5D-19EC-984D-9BAE-40F19189B649}"/>
  </bookViews>
  <sheets>
    <sheet name="Enum" sheetId="2" r:id="rId1"/>
    <sheet name="Constant" sheetId="30" r:id="rId2"/>
    <sheet name="Localization" sheetId="8" r:id="rId3"/>
    <sheet name="Spawner" sheetId="23" r:id="rId4"/>
    <sheet name="Player" sheetId="4" r:id="rId5"/>
    <sheet name="Item" sheetId="19" r:id="rId6"/>
    <sheet name="FactionRelation" sheetId="24" r:id="rId7"/>
    <sheet name="Grade" sheetId="22" r:id="rId8"/>
    <sheet name="SynergeBiome" sheetId="20" r:id="rId9"/>
    <sheet name="SynergeElement" sheetId="21" r:id="rId10"/>
    <sheet name="Skill" sheetId="27" r:id="rId11"/>
    <sheet name="Skin" sheetId="31" r:id="rId12"/>
    <sheet name="Buff" sheetId="29" r:id="rId13"/>
    <sheet name="Projectile" sheetId="2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42" i="19" l="1"/>
  <c r="A141" i="19"/>
  <c r="A140" i="19"/>
  <c r="A139" i="19"/>
  <c r="A8" i="27"/>
  <c r="A137" i="19"/>
  <c r="A136" i="19"/>
  <c r="A135" i="19"/>
  <c r="A134" i="19"/>
  <c r="A133" i="19"/>
  <c r="A132" i="19"/>
  <c r="A131" i="19"/>
  <c r="A130" i="19"/>
  <c r="A129" i="19"/>
  <c r="A128" i="19"/>
  <c r="A127" i="19"/>
  <c r="A126" i="19"/>
  <c r="A125" i="19"/>
  <c r="A124" i="19"/>
  <c r="A123" i="19"/>
  <c r="A122" i="19"/>
  <c r="A121" i="19"/>
  <c r="A120" i="19"/>
  <c r="A119" i="19"/>
  <c r="A118" i="19"/>
  <c r="A116" i="19"/>
  <c r="A115" i="19"/>
  <c r="A114" i="19"/>
  <c r="A113" i="19"/>
  <c r="A112" i="19"/>
  <c r="A111" i="19"/>
  <c r="A110" i="19"/>
  <c r="A108" i="19"/>
  <c r="A107" i="19"/>
  <c r="A106" i="19"/>
  <c r="A105" i="19"/>
  <c r="A104" i="19"/>
  <c r="A103" i="19"/>
  <c r="A101" i="19"/>
  <c r="A100" i="19"/>
  <c r="A99" i="19"/>
  <c r="A98" i="19"/>
  <c r="A97" i="19"/>
  <c r="A96" i="19"/>
  <c r="A95" i="19"/>
  <c r="A94" i="19"/>
  <c r="A93" i="19"/>
  <c r="A92" i="19"/>
  <c r="A91" i="19"/>
  <c r="A90" i="19"/>
  <c r="A89" i="19"/>
  <c r="A88" i="19"/>
  <c r="A87" i="19"/>
  <c r="A86" i="19"/>
  <c r="A85" i="19"/>
  <c r="A84" i="19"/>
  <c r="A83" i="19"/>
  <c r="A82" i="19"/>
  <c r="A81" i="19"/>
  <c r="A79" i="19"/>
  <c r="A78" i="19"/>
  <c r="A77" i="19"/>
  <c r="A76" i="19"/>
  <c r="A75" i="19"/>
  <c r="A74" i="19"/>
  <c r="A73" i="19"/>
  <c r="A72" i="19"/>
  <c r="A71" i="19"/>
  <c r="A70" i="19"/>
  <c r="A69" i="19"/>
  <c r="A68" i="19"/>
  <c r="A67" i="19"/>
  <c r="A66" i="19"/>
  <c r="A65" i="19"/>
  <c r="A64" i="19"/>
  <c r="A63" i="19"/>
  <c r="A62" i="19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7" i="19"/>
  <c r="A46" i="19"/>
  <c r="A45" i="19"/>
  <c r="A44" i="19"/>
  <c r="A43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2" i="19"/>
  <c r="A21" i="19"/>
  <c r="A20" i="19"/>
  <c r="A19" i="19"/>
  <c r="A18" i="19"/>
  <c r="A17" i="19"/>
  <c r="A16" i="19"/>
  <c r="A15" i="19"/>
  <c r="A14" i="19"/>
  <c r="A13" i="19"/>
  <c r="A11" i="19"/>
  <c r="A10" i="19"/>
  <c r="A9" i="19"/>
  <c r="A8" i="19"/>
  <c r="A7" i="19"/>
  <c r="A6" i="19"/>
  <c r="A5" i="19"/>
  <c r="A4" i="19"/>
  <c r="D6" i="4"/>
  <c r="D5" i="4"/>
  <c r="D4" i="4"/>
  <c r="D3" i="4"/>
  <c r="A6" i="31"/>
  <c r="A5" i="31"/>
  <c r="A4" i="31"/>
  <c r="A3" i="31"/>
  <c r="A5" i="30"/>
  <c r="A6" i="30"/>
  <c r="A7" i="30"/>
  <c r="A8" i="30"/>
  <c r="A21" i="27"/>
  <c r="A17" i="27"/>
  <c r="A13" i="27"/>
  <c r="A12" i="27"/>
  <c r="A7" i="27"/>
  <c r="A3" i="29" l="1"/>
  <c r="A3" i="28"/>
  <c r="J6" i="24"/>
  <c r="J5" i="24"/>
  <c r="J4" i="24"/>
  <c r="J3" i="24"/>
  <c r="A6" i="24"/>
  <c r="A5" i="24"/>
  <c r="A4" i="24"/>
  <c r="A3" i="24"/>
  <c r="A3" i="23"/>
  <c r="A6" i="4"/>
  <c r="A5" i="4"/>
  <c r="A4" i="4"/>
  <c r="A5" i="22"/>
  <c r="A6" i="22"/>
  <c r="A7" i="22"/>
  <c r="A8" i="22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<sst xmlns="http://schemas.openxmlformats.org/spreadsheetml/2006/main" count="1645" uniqueCount="357">
  <si>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</si>
  <si>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</si>
  <si>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</si>
  <si>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</si>
  <si>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</si>
  <si>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</si>
  <si>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</si>
  <si>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</si>
  <si>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</si>
  <si>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</si>
  <si>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</si>
  <si>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</si>
  <si>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</si>
  <si>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</si>
  <si>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</si>
  <si>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</si>
  <si>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</si>
  <si>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</si>
  <si>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</si>
  <si>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</si>
  <si>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</si>
  <si>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</si>
  <si>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</si>
  <si>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</si>
  <si>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</si>
  <si>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</si>
  <si>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</si>
  <si>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</si>
  <si>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</si>
  <si>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</si>
  <si>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</si>
  <si>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</si>
  <si>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</si>
  <si>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</si>
  <si>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</si>
  <si>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</si>
  <si>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</si>
  <si>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</si>
  <si>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</si>
  <si>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</si>
  <si>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</si>
  <si>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</si>
  <si>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</si>
  <si>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</si>
  <si>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</si>
  <si>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</si>
  <si>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</si>
  <si>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</si>
  <si>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</si>
  <si>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</si>
  <si>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</si>
  <si>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</si>
  <si>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</si>
  <si>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</si>
  <si>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</si>
  <si>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</si>
  <si>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</si>
  <si>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</si>
  <si>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</si>
  <si>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</si>
  <si>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</si>
  <si>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</si>
  <si>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</si>
  <si>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</si>
  <si>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</si>
  <si>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</si>
  <si>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</si>
  <si>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</si>
  <si>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</si>
  <si>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</si>
  <si>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</si>
  <si>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</si>
  <si>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</si>
  <si>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</si>
  <si>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</si>
  <si>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</si>
  <si>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</si>
  <si>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</si>
  <si>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</si>
  <si>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</si>
  <si>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</si>
  <si>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</si>
  <si>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</si>
  <si>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</si>
  <si>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</si>
  <si>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</si>
  <si>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</si>
  <si>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</si>
  <si>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</si>
  <si>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</si>
  <si>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</si>
  <si>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</si>
  <si>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</si>
  <si>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</si>
  <si>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</si>
  <si>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</si>
  <si>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</si>
  <si>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</si>
  <si>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</si>
  <si>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</si>
  <si>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</si>
  <si>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</si>
  <si>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</si>
  <si>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</si>
  <si>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</si>
  <si>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</si>
  <si>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</si>
  <si>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</si>
  <si>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</si>
  <si>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</si>
  <si>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</si>
  <si>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</si>
  <si>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</si>
  <si>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</si>
  <si>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</si>
  <si>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</si>
  <si>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</si>
  <si>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</si>
  <si>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</si>
  <si>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</si>
  <si>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</si>
  <si>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</si>
  <si>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</si>
  <si>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</si>
  <si>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</si>
  <si>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</si>
  <si>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</si>
  <si>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</si>
  <si>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</si>
  <si>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</si>
  <si>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</si>
  <si>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</si>
  <si>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</si>
  <si>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</si>
  <si>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</si>
  <si>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</si>
  <si>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</si>
  <si>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</si>
  <si>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</si>
  <si>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</si>
  <si>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</si>
  <si>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</si>
  <si>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Skill_Human_Projectile_1</t>
    <phoneticPr fontId="1" type="noConversion"/>
  </si>
  <si>
    <t>duration</t>
    <phoneticPr fontId="1" type="noConversion"/>
  </si>
  <si>
    <t>maxStack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</si>
  <si>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</si>
  <si>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</si>
  <si>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</si>
  <si>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</si>
  <si>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</si>
  <si>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</si>
  <si>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</si>
  <si>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</si>
  <si>
    <t>Stat</t>
    <phoneticPr fontId="1" type="noConversion"/>
  </si>
  <si>
    <t>ApplyStat</t>
    <phoneticPr fontId="1" type="noConversion"/>
  </si>
  <si>
    <t>Str,5</t>
    <phoneticPr fontId="1" type="noConversion"/>
  </si>
  <si>
    <t>StatModifier</t>
    <phoneticPr fontId="1" type="noConversion"/>
  </si>
  <si>
    <t>GrantSkill</t>
    <phoneticPr fontId="1" type="noConversion"/>
  </si>
  <si>
    <t>UseSkillOnEnd</t>
    <phoneticPr fontId="1" type="noConversion"/>
  </si>
  <si>
    <t>BuffEffectType</t>
    <phoneticPr fontId="1" type="noConversion"/>
  </si>
  <si>
    <t>buffEffectType</t>
    <phoneticPr fontId="1" type="noConversion"/>
  </si>
  <si>
    <t>buffEffectParam</t>
    <phoneticPr fontId="1" type="noConversion"/>
  </si>
  <si>
    <t>synergeBuffKey</t>
    <phoneticPr fontId="1" type="noConversion"/>
  </si>
  <si>
    <t>Buff_1</t>
    <phoneticPr fontId="1" type="noConversion"/>
  </si>
  <si>
    <t>AddBuff</t>
    <phoneticPr fontId="1" type="noConversion"/>
  </si>
  <si>
    <t>Skill_Human_Projectile_1</t>
  </si>
  <si>
    <t>float</t>
    <phoneticPr fontId="1" type="noConversion"/>
  </si>
  <si>
    <t>cooldown</t>
    <phoneticPr fontId="1" type="noConversion"/>
  </si>
  <si>
    <t>rawValue</t>
    <phoneticPr fontId="1" type="noConversion"/>
  </si>
  <si>
    <t>DataType</t>
    <phoneticPr fontId="1" type="noConversion"/>
  </si>
  <si>
    <t>String</t>
    <phoneticPr fontId="1" type="noConversion"/>
  </si>
  <si>
    <t>Float</t>
    <phoneticPr fontId="1" type="noConversion"/>
  </si>
  <si>
    <t>Long</t>
    <phoneticPr fontId="1" type="noConversion"/>
  </si>
  <si>
    <t>dataType</t>
    <phoneticPr fontId="1" type="noConversion"/>
  </si>
  <si>
    <t>AI</t>
    <phoneticPr fontId="1" type="noConversion"/>
  </si>
  <si>
    <t>DefaultDetectionRange</t>
    <phoneticPr fontId="1" type="noConversion"/>
  </si>
  <si>
    <t>Flow</t>
    <phoneticPr fontId="1" type="noConversion"/>
  </si>
  <si>
    <t>DefaultAttackRange</t>
    <phoneticPr fontId="1" type="noConversion"/>
  </si>
  <si>
    <t>TargetLostRangeOffset</t>
    <phoneticPr fontId="1" type="noConversion"/>
  </si>
  <si>
    <t>FoolowDistanceRatio</t>
    <phoneticPr fontId="1" type="noConversion"/>
  </si>
  <si>
    <t>// AI</t>
    <phoneticPr fontId="1" type="noConversion"/>
  </si>
  <si>
    <t>hp</t>
    <phoneticPr fontId="1" type="noConversion"/>
  </si>
  <si>
    <t>: Str * 100</t>
    <phoneticPr fontId="1" type="noConversion"/>
  </si>
  <si>
    <t>바디0</t>
    <phoneticPr fontId="1" type="noConversion"/>
  </si>
  <si>
    <t>eye_4</t>
    <phoneticPr fontId="1" type="noConversion"/>
  </si>
  <si>
    <t>hair_0</t>
    <phoneticPr fontId="1" type="noConversion"/>
  </si>
  <si>
    <t>hair_9</t>
    <phoneticPr fontId="1" type="noConversion"/>
  </si>
  <si>
    <t>바디1</t>
    <phoneticPr fontId="1" type="noConversion"/>
  </si>
  <si>
    <t>바디2</t>
    <phoneticPr fontId="1" type="noConversion"/>
  </si>
  <si>
    <t>hair_3</t>
    <phoneticPr fontId="1" type="noConversion"/>
  </si>
  <si>
    <t>바디3</t>
    <phoneticPr fontId="1" type="noConversion"/>
  </si>
  <si>
    <t>hair_13</t>
    <phoneticPr fontId="1" type="noConversion"/>
  </si>
  <si>
    <t>바디4</t>
    <phoneticPr fontId="1" type="noConversion"/>
  </si>
  <si>
    <t>eye_7</t>
    <phoneticPr fontId="1" type="noConversion"/>
  </si>
  <si>
    <t>empty</t>
    <phoneticPr fontId="1" type="noConversion"/>
  </si>
  <si>
    <t>바디5</t>
    <phoneticPr fontId="1" type="noConversion"/>
  </si>
  <si>
    <t>eye_6</t>
    <phoneticPr fontId="1" type="noConversion"/>
  </si>
  <si>
    <t>바디6</t>
    <phoneticPr fontId="1" type="noConversion"/>
  </si>
  <si>
    <t>c</t>
    <phoneticPr fontId="1" type="noConversion"/>
  </si>
  <si>
    <t>//</t>
  </si>
  <si>
    <t>Skin</t>
    <phoneticPr fontId="1" type="noConversion"/>
  </si>
  <si>
    <t>bodyKey</t>
    <phoneticPr fontId="1" type="noConversion"/>
  </si>
  <si>
    <t>body_0</t>
    <phoneticPr fontId="1" type="noConversion"/>
  </si>
  <si>
    <t>body_1</t>
    <phoneticPr fontId="1" type="noConversion"/>
  </si>
  <si>
    <t>body_2</t>
    <phoneticPr fontId="1" type="noConversion"/>
  </si>
  <si>
    <t>body_3</t>
    <phoneticPr fontId="1" type="noConversion"/>
  </si>
  <si>
    <t>hairKey</t>
    <phoneticPr fontId="1" type="noConversion"/>
  </si>
  <si>
    <t>eyeKey</t>
    <phoneticPr fontId="1" type="noConversion"/>
  </si>
  <si>
    <t>skinKey</t>
    <phoneticPr fontId="1" type="noConversion"/>
  </si>
  <si>
    <t>Bow</t>
    <phoneticPr fontId="1" type="noConversion"/>
  </si>
  <si>
    <t>Shield</t>
    <phoneticPr fontId="1" type="noConversion"/>
  </si>
  <si>
    <t>Sword</t>
    <phoneticPr fontId="1" type="noConversion"/>
  </si>
  <si>
    <t>RHand</t>
    <phoneticPr fontId="1" type="noConversion"/>
  </si>
  <si>
    <t>LHand</t>
    <phoneticPr fontId="1" type="noConversion"/>
  </si>
  <si>
    <t>Top</t>
    <phoneticPr fontId="1" type="noConversion"/>
  </si>
  <si>
    <t>Hat</t>
    <phoneticPr fontId="1" type="noConversion"/>
  </si>
  <si>
    <t>Pants</t>
    <phoneticPr fontId="1" type="noConversion"/>
  </si>
  <si>
    <t>Staff</t>
    <phoneticPr fontId="1" type="noConversion"/>
  </si>
  <si>
    <t>Cape</t>
    <phoneticPr fontId="1" type="noConversion"/>
  </si>
  <si>
    <t>FaceAcc</t>
    <phoneticPr fontId="1" type="noConversion"/>
  </si>
  <si>
    <t>HairAcc</t>
    <phoneticPr fontId="1" type="noConversion"/>
  </si>
  <si>
    <t>ItemSlotType</t>
    <phoneticPr fontId="1" type="noConversion"/>
  </si>
  <si>
    <t>itemSlotType</t>
    <phoneticPr fontId="1" type="noConversion"/>
  </si>
  <si>
    <t>Pixem/Parts/LeftHandWeapon/Weapon_0</t>
  </si>
  <si>
    <t>Pixem/Parts/LeftHandWeapon/Weapon_1</t>
    <phoneticPr fontId="1" type="noConversion"/>
  </si>
  <si>
    <t>Pixem/Parts/LeftHandWeapon/Weapon_2</t>
    <phoneticPr fontId="1" type="noConversion"/>
  </si>
  <si>
    <t>Pixem/Parts/LeftHandWeapon/Weapon_3</t>
    <phoneticPr fontId="1" type="noConversion"/>
  </si>
  <si>
    <t>Pixem/Parts/LeftHandWeapon/Weapon_4</t>
    <phoneticPr fontId="1" type="noConversion"/>
  </si>
  <si>
    <t>Pixem/Parts/LeftHandWeapon/Weapon_5</t>
    <phoneticPr fontId="1" type="noConversion"/>
  </si>
  <si>
    <t>Pixem/Parts/LeftHandWeapon/Weapon_11</t>
    <phoneticPr fontId="1" type="noConversion"/>
  </si>
  <si>
    <t>Pixem/Parts/LeftHandWeapon/Weapon_12</t>
    <phoneticPr fontId="1" type="noConversion"/>
  </si>
  <si>
    <t>Pixem/Parts/LeftHandWeapon/Weapon_13</t>
  </si>
  <si>
    <t>Pixem/Parts/LeftHandWeapon/Weapon_14</t>
  </si>
  <si>
    <t>Pixem/Parts/LeftHandWeapon/Weapon_15</t>
  </si>
  <si>
    <t>Pixem/Parts/LeftHandWeapon/Weapon_16</t>
  </si>
  <si>
    <t>Pixem/Parts/LeftHandWeapon/Weapon_17</t>
  </si>
  <si>
    <t>Pixem/Parts/LeftHandWeapon/Weapon_18</t>
  </si>
  <si>
    <t>Pixem/Parts/LeftHandWeapon/Weapon_19</t>
  </si>
  <si>
    <t>Pixem/Parts/LeftHandWeapon/Weapon_20</t>
  </si>
  <si>
    <t>Pixem/Parts/LeftHandWeapon/Weapon_21</t>
  </si>
  <si>
    <t>Pixem/Parts/LeftHandWeapon/Weapon_22</t>
  </si>
  <si>
    <t>Pixem/Parts/LeftHandWeapon/Weapon_6</t>
    <phoneticPr fontId="1" type="noConversion"/>
  </si>
  <si>
    <t>Pixem/Parts/LeftHandWeapon/Weapon_7</t>
    <phoneticPr fontId="1" type="noConversion"/>
  </si>
  <si>
    <t>Pixem/Parts/LeftHandWeapon/Weapon_8</t>
  </si>
  <si>
    <t>Pixem/Parts/LeftHandWeapon/Weapon_9</t>
  </si>
  <si>
    <t>Pixem/Parts/LeftHandWeapon/Weapon_10</t>
  </si>
  <si>
    <t>equipPath</t>
    <phoneticPr fontId="1" type="noConversion"/>
  </si>
  <si>
    <t>Pixem/Parts/Shield/Shield_0</t>
  </si>
  <si>
    <t>Pixem/Parts/Shield/Shield_1</t>
    <phoneticPr fontId="1" type="noConversion"/>
  </si>
  <si>
    <t>Pixem/Parts/Shield/Shield_2</t>
  </si>
  <si>
    <t>Pixem/Parts/Shield/Shield_3</t>
  </si>
  <si>
    <t>Pixem/Parts/Shield/Shield_4</t>
  </si>
  <si>
    <t>Pixem/Parts/Shield/Shield_5</t>
  </si>
  <si>
    <t>Pixem/Parts/Shield/Shield_6</t>
  </si>
  <si>
    <t>Pixem/Parts/Shield/Shield_7</t>
  </si>
  <si>
    <t>Pixem/Parts/Shield/Shield_8</t>
  </si>
  <si>
    <t>Pixem/Parts/Shield/Shield_9</t>
    <phoneticPr fontId="1" type="noConversion"/>
  </si>
  <si>
    <t>Pixem/Parts/RightHandWeapon/Bow_0</t>
  </si>
  <si>
    <t>Pixem/Parts/RightHandWeapon/Bow_1</t>
    <phoneticPr fontId="1" type="noConversion"/>
  </si>
  <si>
    <t>Pixem/Parts/RightHandWeapon/Bow_2</t>
    <phoneticPr fontId="1" type="noConversion"/>
  </si>
  <si>
    <t>Pixem/Parts/RightHandWeapon/Bow_3</t>
  </si>
  <si>
    <t>Pixem/Parts/RightHandWeapon/Bow_4</t>
  </si>
  <si>
    <t>Pixem/Parts/RightHandWeapon/Bow_5</t>
  </si>
  <si>
    <t>Pixem/Parts/RightHandWeapon/Bow_6</t>
  </si>
  <si>
    <t>Pixem/Parts/RightHandWeapon/Bow_7</t>
  </si>
  <si>
    <t>Pixem/Parts/Top/Top_0</t>
  </si>
  <si>
    <t>Pixem/Parts/Top/Top_1</t>
    <phoneticPr fontId="1" type="noConversion"/>
  </si>
  <si>
    <t>Pixem/Parts/Top/Top_2</t>
  </si>
  <si>
    <t>Pixem/Parts/Top/Top_3</t>
  </si>
  <si>
    <t>Pixem/Parts/Top/Top_4</t>
  </si>
  <si>
    <t>Pixem/Parts/Top/Top_5</t>
  </si>
  <si>
    <t>Pixem/Parts/Top/Top_6</t>
  </si>
  <si>
    <t>Pixem/Parts/Top/Top_7</t>
  </si>
  <si>
    <t>Pixem/Parts/Top/Top_8</t>
  </si>
  <si>
    <t>Pixem/Parts/Top/Top_9</t>
  </si>
  <si>
    <t>Pixem/Parts/Top/Top_10</t>
  </si>
  <si>
    <t>Pixem/Parts/Top/Top_11</t>
  </si>
  <si>
    <t>Pixem/Parts/Top/Top_12</t>
  </si>
  <si>
    <t>Pixem/Parts/Top/Top_13</t>
  </si>
  <si>
    <t>Pixem/Parts/Top/Top_14</t>
  </si>
  <si>
    <t>Pixem/Parts/Top/Top_15</t>
  </si>
  <si>
    <t>Pixem/Parts/Top/Top_16</t>
  </si>
  <si>
    <t>Pixem/Parts/Top/Top_17</t>
  </si>
  <si>
    <t>Pixem/Parts/Top/Top_18</t>
  </si>
  <si>
    <t>Pixem/Parts/Top/Top_19</t>
  </si>
  <si>
    <t>Pixem/Parts/Top/Top_20</t>
  </si>
  <si>
    <t>Pixem/Parts/Top/Top_21</t>
  </si>
  <si>
    <t>Pixem/Parts/Top/Top_22</t>
  </si>
  <si>
    <t>Pixem/Parts/Top/Top_23</t>
  </si>
  <si>
    <t>Pixem/Parts/Top/Top_24</t>
  </si>
  <si>
    <t>Pixem/Parts/Top/Top_25</t>
  </si>
  <si>
    <t>Pixem/Parts/Top/Top_26</t>
  </si>
  <si>
    <t>Pixem/Parts/Top/Top_27</t>
  </si>
  <si>
    <t>Pixem/Parts/Top/Top_28</t>
  </si>
  <si>
    <t>Pixem/Parts/Top/Top_29</t>
  </si>
  <si>
    <t>Pixem/Parts/Top/Top_30</t>
  </si>
  <si>
    <t>Pixem/Parts/Pants/Pants_0</t>
  </si>
  <si>
    <t>Pixem/Parts/Pants/Pants_1</t>
    <phoneticPr fontId="1" type="noConversion"/>
  </si>
  <si>
    <t>Pixem/Parts/Pants/Pants_2</t>
  </si>
  <si>
    <t>Pixem/Parts/Pants/Pants_3</t>
  </si>
  <si>
    <t>Pixem/Parts/Pants/Pants_4</t>
  </si>
  <si>
    <t>Pixem/Parts/Pants/Pants_5</t>
  </si>
  <si>
    <t>Pixem/Parts/Pants/Pants_6</t>
  </si>
  <si>
    <t>Pixem/Parts/Pants/Pants_7</t>
  </si>
  <si>
    <t>Pixem/Parts/Pants/Pants_8</t>
  </si>
  <si>
    <t>Pixem/Parts/Pants/Pants_9</t>
  </si>
  <si>
    <t>Pixem/Parts/Pants/Pants_10</t>
  </si>
  <si>
    <t>Pixem/Parts/Pants/Pants_11</t>
  </si>
  <si>
    <t>Pixem/Parts/Pants/Pants_12</t>
  </si>
  <si>
    <t>Pixem/Parts/Pants/Pants_13</t>
  </si>
  <si>
    <t>Pixem/Parts/Pants/Pants_14</t>
  </si>
  <si>
    <t>Pixem/Parts/Pants/Pants_15</t>
  </si>
  <si>
    <t>Pixem/Parts/Pants/Pants_16</t>
  </si>
  <si>
    <t>Pixem/Parts/Pants/Pants_17</t>
  </si>
  <si>
    <t>Pixem/Parts/Pants/Pants_18</t>
  </si>
  <si>
    <t>Pixem/Parts/Pants/Pants_19</t>
  </si>
  <si>
    <t>Pixem/Parts/Pants/Pants_20</t>
  </si>
  <si>
    <t>Pixem/Parts/Cape/Cape_0</t>
  </si>
  <si>
    <t>Pixem/Parts/Cape/Cape_1</t>
    <phoneticPr fontId="1" type="noConversion"/>
  </si>
  <si>
    <t>Pixem/Parts/Cape/Cape_2</t>
  </si>
  <si>
    <t>Pixem/Parts/Cape/Cape_3</t>
  </si>
  <si>
    <t>Pixem/Parts/Cape/Cape_4</t>
  </si>
  <si>
    <t>Pixem/Parts/Cape/Cape_5</t>
  </si>
  <si>
    <t>Pixem/Parts/FaceAcc_2/FaceAcc2_1</t>
  </si>
  <si>
    <t>Pixem/Parts/FaceAcc_2/FaceAcc2_2</t>
    <phoneticPr fontId="1" type="noConversion"/>
  </si>
  <si>
    <t>Pixem/Parts/FaceAcc_2/FaceAcc2_5</t>
    <phoneticPr fontId="1" type="noConversion"/>
  </si>
  <si>
    <t>Pixem/Parts/FaceAcc_2/FaceAcc2_8</t>
    <phoneticPr fontId="1" type="noConversion"/>
  </si>
  <si>
    <t>Pixem/Parts/FaceAcc_2/FaceAcc2_9</t>
    <phoneticPr fontId="1" type="noConversion"/>
  </si>
  <si>
    <t>Pixem/Parts/FaceAcc_1/FaceAcc2_10</t>
    <phoneticPr fontId="1" type="noConversion"/>
  </si>
  <si>
    <t>Pixem/Parts/FaceAcc_1/FaceAcc2_12</t>
    <phoneticPr fontId="1" type="noConversion"/>
  </si>
  <si>
    <t>Pixem/Parts/HairAcc/HairAcc_0</t>
  </si>
  <si>
    <t>Pixem/Parts/HairAcc/HairAcc_1</t>
    <phoneticPr fontId="1" type="noConversion"/>
  </si>
  <si>
    <t>Pixem/Parts/HairAcc/HairAcc_2</t>
  </si>
  <si>
    <t>Pixem/Parts/HairAcc/HairAcc_3</t>
  </si>
  <si>
    <t>Pixem/Parts/HairAcc/HairAcc_4</t>
  </si>
  <si>
    <t>Pixem/Parts/HairAcc/HairAcc_5</t>
  </si>
  <si>
    <t>Pixem/Parts/HairAcc/HairAcc_6</t>
  </si>
  <si>
    <t>Pixem/Parts/HairAcc/HairAcc_7</t>
  </si>
  <si>
    <t>Pixem/Parts/HairAcc/HairAcc_8</t>
  </si>
  <si>
    <t>Pixem/Parts/HairAcc/HairAcc_9</t>
  </si>
  <si>
    <t>Pixem/Parts/HairAcc/HairAcc_10</t>
  </si>
  <si>
    <t>Pixem/Parts/HairAcc/HairAcc_11</t>
  </si>
  <si>
    <t>Pixem/Parts/HairAcc/HairAcc_12</t>
  </si>
  <si>
    <t>Pixem/Parts/HairAcc/HairAcc_13</t>
  </si>
  <si>
    <t>Pixem/Parts/HairAcc/HairAcc_14</t>
  </si>
  <si>
    <t>Pixem/Parts/HairAcc/HairAcc_15</t>
  </si>
  <si>
    <t>Pixem/Parts/HairAcc/HairAcc_16</t>
  </si>
  <si>
    <t>Pixem/Parts/HairAcc/HairAcc_17</t>
  </si>
  <si>
    <t>Pixem/Parts/HairAcc/HairAcc_18</t>
  </si>
  <si>
    <t>Pixem/Parts/HairAcc/HairAcc_19</t>
  </si>
  <si>
    <t>설명</t>
    <phoneticPr fontId="1" type="noConversion"/>
  </si>
  <si>
    <t>Icon 리소스 추가 시 변경 필요</t>
    <phoneticPr fontId="1" type="noConversion"/>
  </si>
  <si>
    <t>// Buff Example</t>
    <phoneticPr fontId="1" type="noConversion"/>
  </si>
  <si>
    <t>Skill_Projectile_Bow_1</t>
  </si>
  <si>
    <t>1,5,1,3,1</t>
  </si>
  <si>
    <t>1,5,1,3,1</t>
    <phoneticPr fontId="1" type="noConversion"/>
  </si>
  <si>
    <t>Str,Dex,Int,Physical,Magical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</si>
</sst>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>
      <alignment vertical="center"/>
    </xf>
    <xf numFmtId="0" fontId="0" fillId="2" borderId="0" xfId="0" applyFill="1">
      <alignment vertical="center"/>
    </xf>
    <xf numFmtId="0" fontId="2" fillId="3" borderId="10" xfId="0" applyFont="1" applyFill="1" applyBorder="1">
      <alignment vertical="center"/>
    </xf>
    <xf numFmtId="0" fontId="2" fillId="3" borderId="11" xfId="0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  <xf numFmtId="0" fontId="0" fillId="2" borderId="0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85"/>
  <sheetViews>
    <sheetView workbookViewId="0">
      <selection activeCell="D63" sqref="D63"/>
    </sheetView>
  </sheetViews>
  <sheetFormatPr baseColWidth="10" defaultColWidth="11.140625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104</v>
      </c>
    </row>
    <row r="5" spans="1:19">
      <c r="A5" s="1">
        <v>5</v>
      </c>
      <c r="B5" s="1" t="s">
        <v>3</v>
      </c>
      <c r="C5" s="1" t="s">
        <v>105</v>
      </c>
    </row>
    <row r="6" spans="1:19">
      <c r="A6" s="1">
        <v>1</v>
      </c>
      <c r="B6" s="13" t="s">
        <v>16</v>
      </c>
      <c r="C6" s="1" t="s">
        <v>21</v>
      </c>
    </row>
    <row r="7" spans="1:19">
      <c r="A7" s="1">
        <v>2</v>
      </c>
      <c r="B7" s="13" t="s">
        <v>16</v>
      </c>
      <c r="C7" s="1" t="s">
        <v>61</v>
      </c>
    </row>
    <row r="8" spans="1:19">
      <c r="A8" s="1">
        <v>3</v>
      </c>
      <c r="B8" s="13" t="s">
        <v>16</v>
      </c>
      <c r="C8" s="1" t="s">
        <v>17</v>
      </c>
    </row>
    <row r="9" spans="1:19">
      <c r="A9" s="1">
        <v>4</v>
      </c>
      <c r="B9" s="13" t="s">
        <v>16</v>
      </c>
      <c r="C9" s="1" t="s">
        <v>18</v>
      </c>
    </row>
    <row r="10" spans="1:19">
      <c r="A10" s="1">
        <v>5</v>
      </c>
      <c r="B10" s="13" t="s">
        <v>16</v>
      </c>
      <c r="C10" s="1" t="s">
        <v>19</v>
      </c>
    </row>
    <row r="11" spans="1:19">
      <c r="A11" s="1">
        <v>6</v>
      </c>
      <c r="B11" s="13" t="s">
        <v>16</v>
      </c>
      <c r="C11" s="1" t="s">
        <v>20</v>
      </c>
    </row>
    <row r="12" spans="1:19">
      <c r="A12" s="1">
        <v>1</v>
      </c>
      <c r="B12" s="13" t="s">
        <v>32</v>
      </c>
      <c r="C12" s="1" t="s">
        <v>33</v>
      </c>
    </row>
    <row r="13" spans="1:19">
      <c r="A13" s="1">
        <v>2</v>
      </c>
      <c r="B13" s="13" t="s">
        <v>32</v>
      </c>
      <c r="C13" s="1" t="s">
        <v>34</v>
      </c>
    </row>
    <row r="14" spans="1:19">
      <c r="A14" s="1">
        <v>3</v>
      </c>
      <c r="B14" s="13" t="s">
        <v>32</v>
      </c>
      <c r="C14" s="1" t="s">
        <v>35</v>
      </c>
    </row>
    <row r="15" spans="1:19">
      <c r="A15" s="1">
        <v>4</v>
      </c>
      <c r="B15" s="13" t="s">
        <v>32</v>
      </c>
      <c r="C15" s="1" t="s">
        <v>36</v>
      </c>
    </row>
    <row r="16" spans="1:19">
      <c r="A16" s="1">
        <v>5</v>
      </c>
      <c r="B16" s="13" t="s">
        <v>32</v>
      </c>
      <c r="C16" s="1" t="s">
        <v>37</v>
      </c>
    </row>
    <row r="17" spans="1:5">
      <c r="A17" s="1">
        <v>6</v>
      </c>
      <c r="B17" s="13" t="s">
        <v>32</v>
      </c>
      <c r="C17" s="1" t="s">
        <v>38</v>
      </c>
    </row>
    <row r="18" spans="1:5">
      <c r="A18" s="1">
        <v>7</v>
      </c>
      <c r="B18" s="13" t="s">
        <v>32</v>
      </c>
      <c r="C18" s="1" t="s">
        <v>39</v>
      </c>
    </row>
    <row r="19" spans="1:5">
      <c r="A19" s="1">
        <v>8</v>
      </c>
      <c r="B19" s="13" t="s">
        <v>32</v>
      </c>
      <c r="C19" s="1" t="s">
        <v>40</v>
      </c>
    </row>
    <row r="20" spans="1:5">
      <c r="A20" s="1">
        <v>1</v>
      </c>
      <c r="B20" s="13" t="s">
        <v>41</v>
      </c>
      <c r="C20" s="1" t="s">
        <v>42</v>
      </c>
    </row>
    <row r="21" spans="1:5">
      <c r="A21" s="1">
        <v>2</v>
      </c>
      <c r="B21" s="13" t="s">
        <v>41</v>
      </c>
      <c r="C21" s="1" t="s">
        <v>43</v>
      </c>
      <c r="E21" s="11"/>
    </row>
    <row r="22" spans="1:5">
      <c r="A22" s="1">
        <v>3</v>
      </c>
      <c r="B22" s="13" t="s">
        <v>41</v>
      </c>
      <c r="C22" s="1" t="s">
        <v>44</v>
      </c>
      <c r="E22" s="11"/>
    </row>
    <row r="23" spans="1:5">
      <c r="A23" s="1">
        <v>4</v>
      </c>
      <c r="B23" s="13" t="s">
        <v>41</v>
      </c>
      <c r="C23" s="1" t="s">
        <v>45</v>
      </c>
      <c r="E23" s="11"/>
    </row>
    <row r="24" spans="1:5">
      <c r="A24" s="1">
        <v>1</v>
      </c>
      <c r="B24" s="13" t="s">
        <v>221</v>
      </c>
      <c r="C24" s="1" t="s">
        <v>47</v>
      </c>
      <c r="E24" s="11"/>
    </row>
    <row r="25" spans="1:5">
      <c r="A25" s="1">
        <v>2</v>
      </c>
      <c r="B25" s="13" t="s">
        <v>221</v>
      </c>
      <c r="C25" s="1" t="s">
        <v>7</v>
      </c>
      <c r="E25" s="11"/>
    </row>
    <row r="26" spans="1:5">
      <c r="A26" s="1">
        <v>3</v>
      </c>
      <c r="B26" s="13" t="s">
        <v>221</v>
      </c>
      <c r="C26" s="1" t="s">
        <v>212</v>
      </c>
      <c r="E26" s="12"/>
    </row>
    <row r="27" spans="1:5">
      <c r="A27" s="1">
        <v>4</v>
      </c>
      <c r="B27" s="13" t="s">
        <v>221</v>
      </c>
      <c r="C27" s="1" t="s">
        <v>213</v>
      </c>
    </row>
    <row r="28" spans="1:5">
      <c r="A28" s="1">
        <v>5</v>
      </c>
      <c r="B28" s="13" t="s">
        <v>221</v>
      </c>
      <c r="C28" s="9" t="s">
        <v>214</v>
      </c>
    </row>
    <row r="29" spans="1:5">
      <c r="A29" s="1">
        <v>6</v>
      </c>
      <c r="B29" s="13" t="s">
        <v>221</v>
      </c>
      <c r="C29" s="9" t="s">
        <v>216</v>
      </c>
    </row>
    <row r="30" spans="1:5">
      <c r="A30" s="1">
        <v>7</v>
      </c>
      <c r="B30" s="13" t="s">
        <v>221</v>
      </c>
      <c r="C30" t="s">
        <v>218</v>
      </c>
    </row>
    <row r="31" spans="1:5">
      <c r="A31" s="1">
        <v>8</v>
      </c>
      <c r="B31" s="13" t="s">
        <v>221</v>
      </c>
      <c r="C31" t="s">
        <v>219</v>
      </c>
    </row>
    <row r="32" spans="1:5">
      <c r="A32" s="1">
        <v>9</v>
      </c>
      <c r="B32" s="13" t="s">
        <v>221</v>
      </c>
      <c r="C32" t="s">
        <v>220</v>
      </c>
    </row>
    <row r="33" spans="1:3">
      <c r="A33" s="1">
        <v>1</v>
      </c>
      <c r="B33" s="13" t="s">
        <v>25</v>
      </c>
      <c r="C33" s="1" t="s">
        <v>209</v>
      </c>
    </row>
    <row r="34" spans="1:3">
      <c r="A34" s="1">
        <v>2</v>
      </c>
      <c r="B34" s="13" t="s">
        <v>25</v>
      </c>
      <c r="C34" s="9" t="s">
        <v>210</v>
      </c>
    </row>
    <row r="35" spans="1:3">
      <c r="A35" s="1">
        <v>3</v>
      </c>
      <c r="B35" s="13" t="s">
        <v>25</v>
      </c>
      <c r="C35" s="9" t="s">
        <v>211</v>
      </c>
    </row>
    <row r="36" spans="1:3">
      <c r="A36" s="1">
        <v>4</v>
      </c>
      <c r="B36" s="13" t="s">
        <v>25</v>
      </c>
      <c r="C36" s="9" t="s">
        <v>217</v>
      </c>
    </row>
    <row r="37" spans="1:3">
      <c r="A37" s="1">
        <v>5</v>
      </c>
      <c r="B37" s="13" t="s">
        <v>25</v>
      </c>
      <c r="C37" s="9" t="s">
        <v>214</v>
      </c>
    </row>
    <row r="38" spans="1:3">
      <c r="A38" s="1">
        <v>6</v>
      </c>
      <c r="B38" s="13" t="s">
        <v>25</v>
      </c>
      <c r="C38" s="9" t="s">
        <v>216</v>
      </c>
    </row>
    <row r="39" spans="1:3">
      <c r="A39" s="1">
        <v>7</v>
      </c>
      <c r="B39" s="13" t="s">
        <v>25</v>
      </c>
      <c r="C39" s="9" t="s">
        <v>218</v>
      </c>
    </row>
    <row r="40" spans="1:3">
      <c r="A40" s="1">
        <v>8</v>
      </c>
      <c r="B40" s="13" t="s">
        <v>25</v>
      </c>
      <c r="C40" s="9" t="s">
        <v>219</v>
      </c>
    </row>
    <row r="41" spans="1:3">
      <c r="A41" s="1">
        <v>9</v>
      </c>
      <c r="B41" s="13" t="s">
        <v>25</v>
      </c>
      <c r="C41" s="9" t="s">
        <v>215</v>
      </c>
    </row>
    <row r="42" spans="1:3">
      <c r="A42" s="1">
        <v>10</v>
      </c>
      <c r="B42" s="13" t="s">
        <v>25</v>
      </c>
      <c r="C42" s="9" t="s">
        <v>7</v>
      </c>
    </row>
    <row r="43" spans="1:3">
      <c r="A43" s="1">
        <v>1</v>
      </c>
      <c r="B43" s="13" t="s">
        <v>91</v>
      </c>
      <c r="C43" s="1" t="s">
        <v>96</v>
      </c>
    </row>
    <row r="44" spans="1:3">
      <c r="A44" s="1">
        <v>2</v>
      </c>
      <c r="B44" s="13" t="s">
        <v>91</v>
      </c>
      <c r="C44" s="1" t="s">
        <v>97</v>
      </c>
    </row>
    <row r="45" spans="1:3">
      <c r="A45" s="1">
        <v>3</v>
      </c>
      <c r="B45" s="13" t="s">
        <v>91</v>
      </c>
      <c r="C45" s="1" t="s">
        <v>98</v>
      </c>
    </row>
    <row r="46" spans="1:3">
      <c r="A46" s="1">
        <v>1</v>
      </c>
      <c r="B46" s="13" t="s">
        <v>92</v>
      </c>
      <c r="C46" s="1" t="s">
        <v>103</v>
      </c>
    </row>
    <row r="47" spans="1:3">
      <c r="A47" s="1">
        <v>2</v>
      </c>
      <c r="B47" s="13" t="s">
        <v>92</v>
      </c>
      <c r="C47" s="1" t="s">
        <v>95</v>
      </c>
    </row>
    <row r="48" spans="1:3">
      <c r="A48" s="1">
        <v>3</v>
      </c>
      <c r="B48" s="13" t="s">
        <v>92</v>
      </c>
      <c r="C48" s="1" t="s">
        <v>93</v>
      </c>
    </row>
    <row r="49" spans="1:11">
      <c r="A49" s="1">
        <v>4</v>
      </c>
      <c r="B49" s="13" t="s">
        <v>92</v>
      </c>
      <c r="C49" s="1" t="s">
        <v>94</v>
      </c>
    </row>
    <row r="50" spans="1:11">
      <c r="A50" s="1">
        <v>1</v>
      </c>
      <c r="B50" s="13" t="s">
        <v>118</v>
      </c>
      <c r="C50" s="1" t="s">
        <v>119</v>
      </c>
    </row>
    <row r="51" spans="1:11">
      <c r="A51" s="1">
        <v>2</v>
      </c>
      <c r="B51" s="13" t="s">
        <v>118</v>
      </c>
      <c r="C51" s="1" t="s">
        <v>127</v>
      </c>
    </row>
    <row r="52" spans="1:11">
      <c r="A52" s="1">
        <v>1</v>
      </c>
      <c r="B52" s="13" t="s">
        <v>120</v>
      </c>
      <c r="C52" s="1" t="s">
        <v>24</v>
      </c>
    </row>
    <row r="53" spans="1:11">
      <c r="A53" s="1">
        <v>2</v>
      </c>
      <c r="B53" s="13" t="s">
        <v>120</v>
      </c>
      <c r="C53" s="1" t="s">
        <v>123</v>
      </c>
    </row>
    <row r="54" spans="1:11">
      <c r="A54" s="1">
        <v>1</v>
      </c>
      <c r="B54" s="13" t="s">
        <v>124</v>
      </c>
      <c r="C54" s="1" t="s">
        <v>126</v>
      </c>
    </row>
    <row r="55" spans="1:11">
      <c r="A55" s="1">
        <v>2</v>
      </c>
      <c r="B55" s="13" t="s">
        <v>124</v>
      </c>
      <c r="C55" s="1" t="s">
        <v>117</v>
      </c>
      <c r="F55" s="9"/>
      <c r="G55" s="2"/>
      <c r="J55" s="11"/>
      <c r="K55" s="11"/>
    </row>
    <row r="56" spans="1:11">
      <c r="A56" s="1">
        <v>3</v>
      </c>
      <c r="B56" s="13" t="s">
        <v>124</v>
      </c>
      <c r="C56" s="1" t="s">
        <v>128</v>
      </c>
      <c r="F56" s="9"/>
      <c r="J56" s="11"/>
      <c r="K56" s="11"/>
    </row>
    <row r="57" spans="1:11">
      <c r="A57" s="1">
        <v>4</v>
      </c>
      <c r="B57" s="13" t="s">
        <v>124</v>
      </c>
      <c r="C57" s="1" t="s">
        <v>129</v>
      </c>
    </row>
    <row r="58" spans="1:11">
      <c r="A58" s="1">
        <v>5</v>
      </c>
      <c r="B58" s="13" t="s">
        <v>124</v>
      </c>
      <c r="C58" s="1" t="s">
        <v>154</v>
      </c>
    </row>
    <row r="59" spans="1:11">
      <c r="A59" s="1">
        <v>6</v>
      </c>
      <c r="B59" s="13" t="s">
        <v>124</v>
      </c>
      <c r="C59" s="1" t="s">
        <v>164</v>
      </c>
    </row>
    <row r="60" spans="1:11">
      <c r="A60" s="1">
        <v>1</v>
      </c>
      <c r="B60" s="11" t="s">
        <v>159</v>
      </c>
      <c r="C60" s="1" t="s">
        <v>156</v>
      </c>
    </row>
    <row r="61" spans="1:11">
      <c r="A61" s="1">
        <v>2</v>
      </c>
      <c r="B61" s="11" t="s">
        <v>159</v>
      </c>
      <c r="C61" s="1" t="s">
        <v>157</v>
      </c>
    </row>
    <row r="62" spans="1:11">
      <c r="A62" s="1">
        <v>3</v>
      </c>
      <c r="B62" s="11" t="s">
        <v>159</v>
      </c>
      <c r="C62" s="1" t="s">
        <v>158</v>
      </c>
    </row>
    <row r="63" spans="1:11">
      <c r="A63" s="1">
        <v>1</v>
      </c>
      <c r="B63" s="11" t="s">
        <v>169</v>
      </c>
      <c r="C63" s="1" t="s">
        <v>5</v>
      </c>
    </row>
    <row r="64" spans="1:11">
      <c r="A64" s="1">
        <v>2</v>
      </c>
      <c r="B64" s="11" t="s">
        <v>169</v>
      </c>
      <c r="C64" s="1" t="s">
        <v>170</v>
      </c>
    </row>
    <row r="65" spans="1:3">
      <c r="A65" s="1">
        <v>3</v>
      </c>
      <c r="B65" s="11" t="s">
        <v>169</v>
      </c>
      <c r="C65" s="1" t="s">
        <v>171</v>
      </c>
    </row>
    <row r="66" spans="1:3">
      <c r="A66" s="1">
        <v>4</v>
      </c>
      <c r="B66" s="11" t="s">
        <v>169</v>
      </c>
      <c r="C66" s="1" t="s">
        <v>172</v>
      </c>
    </row>
    <row r="67" spans="1:3">
      <c r="A67" s="1"/>
      <c r="B67" s="11"/>
      <c r="C67" s="1"/>
    </row>
    <row r="68" spans="1:3">
      <c r="A68" s="1"/>
      <c r="B68" s="11"/>
      <c r="C68" s="1"/>
    </row>
    <row r="69" spans="1:3">
      <c r="A69" s="1"/>
      <c r="B69" s="11"/>
      <c r="C69" s="1"/>
    </row>
    <row r="70" spans="1:3">
      <c r="A70" s="1"/>
      <c r="B70" s="11"/>
      <c r="C70" s="1"/>
    </row>
    <row r="71" spans="1:3">
      <c r="A71" s="1"/>
      <c r="B71" s="11"/>
      <c r="C71" s="1"/>
    </row>
    <row r="72" spans="1:3">
      <c r="A72" s="1"/>
      <c r="C72" s="1"/>
    </row>
    <row r="73" spans="1:3">
      <c r="A73" s="1"/>
      <c r="C73" s="1"/>
    </row>
    <row r="74" spans="1:3">
      <c r="A74" s="1"/>
      <c r="C74" s="1"/>
    </row>
    <row r="75" spans="1:3">
      <c r="A75" s="1"/>
      <c r="C75" s="1"/>
    </row>
    <row r="76" spans="1:3">
      <c r="A76" s="1"/>
      <c r="C76" s="1"/>
    </row>
    <row r="77" spans="1:3">
      <c r="A77" s="1"/>
      <c r="C77" s="1"/>
    </row>
    <row r="78" spans="1:3">
      <c r="A78" s="1"/>
      <c r="C78" s="1"/>
    </row>
    <row r="79" spans="1:3">
      <c r="A79" s="1"/>
      <c r="C79" s="1"/>
    </row>
    <row r="80" spans="1:3">
      <c r="A80" s="1"/>
      <c r="C80" s="1"/>
    </row>
    <row r="81" spans="1:3">
      <c r="A81" s="1"/>
      <c r="C81" s="1"/>
    </row>
    <row r="82" spans="1:3">
      <c r="A82" s="1"/>
      <c r="C82" s="1"/>
    </row>
    <row r="83" spans="1:3">
      <c r="A83" s="1"/>
      <c r="C83" s="1"/>
    </row>
    <row r="84" spans="1:3">
      <c r="A84" s="1"/>
      <c r="C84" s="1"/>
    </row>
    <row r="85" spans="1:3">
      <c r="A85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$I$2:$I$1029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F63E-9079-1A4A-A3AF-0BA8892B823F}">
  <dimension ref="A1:H8"/>
  <sheetViews>
    <sheetView workbookViewId="0">
      <selection activeCell="G18" sqref="G18"/>
    </sheetView>
  </sheetViews>
  <sheetFormatPr baseColWidth="10" defaultRowHeight="18"/>
  <cols>
    <col min="1" max="1" width="22.7109375" bestFit="1" customWidth="1"/>
    <col min="2" max="2" width="3.28515625" bestFit="1" customWidth="1"/>
    <col min="3" max="4" width="20.140625" bestFit="1" customWidth="1"/>
  </cols>
  <sheetData>
    <row r="1" spans="1:8">
      <c r="A1" s="7"/>
      <c r="B1" s="7" t="s">
        <v>2</v>
      </c>
      <c r="C1" s="5" t="s">
        <v>2</v>
      </c>
      <c r="D1" s="5" t="s">
        <v>2</v>
      </c>
      <c r="E1" s="5"/>
      <c r="F1" s="5" t="s">
        <v>169</v>
      </c>
      <c r="G1" s="5" t="s">
        <v>0</v>
      </c>
    </row>
    <row r="2" spans="1:8">
      <c r="A2" s="7"/>
      <c r="B2" s="8"/>
      <c r="C2" s="6"/>
      <c r="D2" s="6"/>
      <c r="E2" s="6"/>
      <c r="F2" s="6" t="s">
        <v>173</v>
      </c>
      <c r="G2" s="6" t="s">
        <v>168</v>
      </c>
    </row>
    <row r="3" spans="1:8">
      <c r="A3" s="7" t="s">
        <v>2</v>
      </c>
      <c r="E3" s="9"/>
      <c r="G3" s="9"/>
    </row>
    <row r="4" spans="1:8">
      <c r="A4" s="7" t="s">
        <v>180</v>
      </c>
      <c r="G4" s="9"/>
      <c r="H4" s="9"/>
    </row>
    <row r="5" spans="1:8">
      <c r="A5" s="7" t="str">
        <f>_xlfn.TEXTJOIN("_",TRUE,B5:D5)</f>
        <v>AI_Flow_DefaultDetectionRange</v>
      </c>
      <c r="B5" t="s">
        <v>174</v>
      </c>
      <c r="C5" t="s">
        <v>176</v>
      </c>
      <c r="D5" t="s">
        <v>175</v>
      </c>
      <c r="E5" s="9"/>
      <c r="F5" t="s">
        <v>171</v>
      </c>
      <c r="G5" s="9">
        <v>6</v>
      </c>
    </row>
    <row r="6" spans="1:8">
      <c r="A6" s="7" t="str">
        <f t="shared" ref="A6:A8" si="0">_xlfn.TEXTJOIN("_",TRUE,B6:D6)</f>
        <v>AI_Flow_DefaultAttackRange</v>
      </c>
      <c r="B6" t="s">
        <v>174</v>
      </c>
      <c r="C6" t="s">
        <v>176</v>
      </c>
      <c r="D6" t="s">
        <v>177</v>
      </c>
      <c r="F6" t="s">
        <v>171</v>
      </c>
      <c r="G6" s="9">
        <v>1.5</v>
      </c>
    </row>
    <row r="7" spans="1:8">
      <c r="A7" s="7" t="str">
        <f t="shared" si="0"/>
        <v>AI_Flow_TargetLostRangeOffset</v>
      </c>
      <c r="B7" t="s">
        <v>174</v>
      </c>
      <c r="C7" t="s">
        <v>176</v>
      </c>
      <c r="D7" t="s">
        <v>178</v>
      </c>
      <c r="F7" t="s">
        <v>171</v>
      </c>
      <c r="G7" s="9">
        <v>2</v>
      </c>
    </row>
    <row r="8" spans="1:8">
      <c r="A8" s="7" t="str">
        <f t="shared" si="0"/>
        <v>AI_Flow_FoolowDistanceRatio</v>
      </c>
      <c r="B8" t="s">
        <v>174</v>
      </c>
      <c r="C8" t="s">
        <v>176</v>
      </c>
      <c r="D8" t="s">
        <v>179</v>
      </c>
      <c r="F8" t="s">
        <v>171</v>
      </c>
      <c r="G8" s="9">
        <v>0.9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ColWidth="11.140625" defaultRowHeight="18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ColWidth="11.140625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71</v>
      </c>
      <c r="F1" s="5" t="s">
        <v>9</v>
      </c>
      <c r="G1" s="5" t="s">
        <v>84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74</v>
      </c>
      <c r="E2" s="6" t="s">
        <v>89</v>
      </c>
      <c r="F2" s="6" t="s">
        <v>85</v>
      </c>
      <c r="G2" s="6" t="s">
        <v>86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83</v>
      </c>
      <c r="C3" s="9" t="s">
        <v>50</v>
      </c>
      <c r="D3" s="9" t="s">
        <v>88</v>
      </c>
      <c r="E3" s="9">
        <v>1</v>
      </c>
      <c r="F3" s="9" t="s">
        <v>87</v>
      </c>
      <c r="G3" s="17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X32"/>
  <sheetViews>
    <sheetView topLeftCell="C1" workbookViewId="0">
      <selection activeCell="G14" sqref="G14"/>
    </sheetView>
  </sheetViews>
  <sheetFormatPr baseColWidth="10" defaultColWidth="11.140625" defaultRowHeight="18"/>
  <cols>
    <col min="1" max="1" width="12" bestFit="1" customWidth="1"/>
    <col min="4" max="4" width="13.28515625" bestFit="1" customWidth="1"/>
    <col min="6" max="6" width="12.140625" bestFit="1" customWidth="1"/>
    <col min="7" max="7" width="18.5703125" bestFit="1" customWidth="1"/>
    <col min="8" max="8" width="16.42578125" bestFit="1" customWidth="1"/>
    <col min="9" max="9" width="21.7109375" bestFit="1" customWidth="1"/>
    <col min="10" max="11" width="21.7109375" customWidth="1"/>
    <col min="14" max="14" width="21.7109375" bestFit="1" customWidth="1"/>
    <col min="15" max="15" width="15.85546875" bestFit="1" customWidth="1"/>
  </cols>
  <sheetData>
    <row r="1" spans="1:24">
      <c r="A1" s="7"/>
      <c r="B1" s="7" t="s">
        <v>2</v>
      </c>
      <c r="C1" s="5"/>
      <c r="D1" s="5" t="s">
        <v>0</v>
      </c>
      <c r="E1" s="5" t="s">
        <v>71</v>
      </c>
      <c r="F1" s="5" t="s">
        <v>0</v>
      </c>
      <c r="G1" s="5" t="s">
        <v>0</v>
      </c>
      <c r="H1" s="5" t="s">
        <v>0</v>
      </c>
      <c r="I1" s="5" t="s">
        <v>0</v>
      </c>
      <c r="J1" s="8" t="s">
        <v>12</v>
      </c>
      <c r="K1" s="8" t="s">
        <v>14</v>
      </c>
      <c r="L1" s="15" t="s">
        <v>28</v>
      </c>
      <c r="M1" s="8" t="s">
        <v>16</v>
      </c>
      <c r="N1" s="5" t="s">
        <v>0</v>
      </c>
      <c r="O1" s="5" t="s">
        <v>71</v>
      </c>
      <c r="P1" s="5" t="s">
        <v>92</v>
      </c>
      <c r="Q1" s="5" t="s">
        <v>149</v>
      </c>
      <c r="R1" s="5" t="s">
        <v>151</v>
      </c>
      <c r="S1" s="5"/>
      <c r="T1" s="5"/>
      <c r="U1" s="5"/>
      <c r="V1" s="5"/>
      <c r="W1" s="5"/>
      <c r="X1" s="5"/>
    </row>
    <row r="2" spans="1:24">
      <c r="A2" s="7"/>
      <c r="B2" s="8"/>
      <c r="C2" s="6"/>
      <c r="D2" s="6" t="s">
        <v>208</v>
      </c>
      <c r="E2" s="6" t="s">
        <v>181</v>
      </c>
      <c r="F2" s="6" t="s">
        <v>29</v>
      </c>
      <c r="G2" s="6" t="s">
        <v>74</v>
      </c>
      <c r="H2" s="6" t="s">
        <v>30</v>
      </c>
      <c r="I2" s="6" t="s">
        <v>31</v>
      </c>
      <c r="J2" s="8" t="s">
        <v>13</v>
      </c>
      <c r="K2" s="8" t="s">
        <v>15</v>
      </c>
      <c r="L2" s="16" t="s">
        <v>56</v>
      </c>
      <c r="M2" s="8" t="s">
        <v>22</v>
      </c>
      <c r="N2" s="6" t="s">
        <v>72</v>
      </c>
      <c r="O2" s="6" t="s">
        <v>73</v>
      </c>
      <c r="P2" s="6" t="s">
        <v>102</v>
      </c>
      <c r="Q2" s="6" t="s">
        <v>150</v>
      </c>
      <c r="R2" s="6" t="s">
        <v>152</v>
      </c>
      <c r="S2" s="6"/>
      <c r="T2" s="14"/>
      <c r="U2" s="6"/>
      <c r="V2" s="6"/>
      <c r="W2" s="6"/>
      <c r="X2" s="6"/>
    </row>
    <row r="3" spans="1:24">
      <c r="A3" s="7" t="str">
        <f>_xlfn.TEXTJOIN("_",TRUE,B3,C3)</f>
        <v>Player_Human</v>
      </c>
      <c r="B3" t="s">
        <v>7</v>
      </c>
      <c r="C3" s="9" t="s">
        <v>46</v>
      </c>
      <c r="D3" s="9" t="str">
        <f>_xlfn.TEXTJOIN("_",TRUE,"Skin",C3,"1")</f>
        <v>Skin_Human_1</v>
      </c>
      <c r="E3" s="9">
        <v>100</v>
      </c>
      <c r="F3" s="9" t="s">
        <v>108</v>
      </c>
      <c r="G3" s="9" t="s">
        <v>75</v>
      </c>
      <c r="H3" s="9" t="s">
        <v>109</v>
      </c>
      <c r="I3" s="9" t="s">
        <v>142</v>
      </c>
      <c r="J3" s="11" t="s">
        <v>107</v>
      </c>
      <c r="K3" s="11" t="s">
        <v>106</v>
      </c>
      <c r="L3" s="11" t="s">
        <v>56</v>
      </c>
      <c r="M3" s="9" t="s">
        <v>20</v>
      </c>
      <c r="N3" s="11" t="s">
        <v>79</v>
      </c>
      <c r="O3" s="9">
        <v>100</v>
      </c>
      <c r="P3" s="11" t="s">
        <v>103</v>
      </c>
      <c r="R3" t="s">
        <v>42</v>
      </c>
    </row>
    <row r="4" spans="1:24">
      <c r="A4" s="7" t="str">
        <f>_xlfn.TEXTJOIN("_",TRUE,B4,C4)</f>
        <v>Player_Dog</v>
      </c>
      <c r="B4" t="s">
        <v>7</v>
      </c>
      <c r="C4" s="9" t="s">
        <v>68</v>
      </c>
      <c r="D4" s="9" t="str">
        <f>_xlfn.TEXTJOIN("_",TRUE,"Skin",C4,"1")</f>
        <v>Skin_Dog_1</v>
      </c>
      <c r="E4" s="9">
        <v>100</v>
      </c>
      <c r="F4" s="9" t="s">
        <v>108</v>
      </c>
      <c r="G4" s="9" t="s">
        <v>76</v>
      </c>
      <c r="H4" s="9" t="s">
        <v>110</v>
      </c>
      <c r="I4" s="9" t="s">
        <v>48</v>
      </c>
      <c r="J4" s="11" t="s">
        <v>107</v>
      </c>
      <c r="K4" s="11" t="s">
        <v>106</v>
      </c>
      <c r="L4" s="11" t="s">
        <v>56</v>
      </c>
      <c r="M4" s="9" t="s">
        <v>21</v>
      </c>
      <c r="N4" s="11" t="s">
        <v>80</v>
      </c>
      <c r="O4" s="9">
        <v>100</v>
      </c>
      <c r="P4" s="11" t="s">
        <v>95</v>
      </c>
      <c r="R4" t="s">
        <v>42</v>
      </c>
    </row>
    <row r="5" spans="1:24">
      <c r="A5" s="7" t="str">
        <f>_xlfn.TEXTJOIN("_",TRUE,B5,C5)</f>
        <v>Player_Eagle</v>
      </c>
      <c r="B5" t="s">
        <v>7</v>
      </c>
      <c r="C5" s="9" t="s">
        <v>69</v>
      </c>
      <c r="D5" s="9" t="str">
        <f>_xlfn.TEXTJOIN("_",TRUE,"Skin",C5,"1")</f>
        <v>Skin_Eagle_1</v>
      </c>
      <c r="E5" s="9">
        <v>100</v>
      </c>
      <c r="F5" s="9" t="s">
        <v>108</v>
      </c>
      <c r="G5" s="9" t="s">
        <v>77</v>
      </c>
      <c r="H5" s="9" t="s">
        <v>111</v>
      </c>
      <c r="I5" s="9" t="s">
        <v>48</v>
      </c>
      <c r="J5" s="11" t="s">
        <v>107</v>
      </c>
      <c r="K5" s="11" t="s">
        <v>106</v>
      </c>
      <c r="L5" s="11" t="s">
        <v>56</v>
      </c>
      <c r="M5" s="9" t="s">
        <v>21</v>
      </c>
      <c r="N5" s="11" t="s">
        <v>81</v>
      </c>
      <c r="O5" s="9">
        <v>100</v>
      </c>
      <c r="P5" s="11" t="s">
        <v>95</v>
      </c>
      <c r="R5" t="s">
        <v>42</v>
      </c>
    </row>
    <row r="6" spans="1:24">
      <c r="A6" s="7" t="str">
        <f>_xlfn.TEXTJOIN("_",TRUE,B6,C6)</f>
        <v>Player_Snake</v>
      </c>
      <c r="B6" t="s">
        <v>7</v>
      </c>
      <c r="C6" s="9" t="s">
        <v>70</v>
      </c>
      <c r="D6" s="9" t="str">
        <f>_xlfn.TEXTJOIN("_",TRUE,"Skin",C6,"1")</f>
        <v>Skin_Snake_1</v>
      </c>
      <c r="E6" s="9">
        <v>100</v>
      </c>
      <c r="F6" s="9" t="s">
        <v>108</v>
      </c>
      <c r="G6" s="9" t="s">
        <v>78</v>
      </c>
      <c r="H6" s="9" t="s">
        <v>112</v>
      </c>
      <c r="I6" s="9" t="s">
        <v>48</v>
      </c>
      <c r="J6" s="11" t="s">
        <v>107</v>
      </c>
      <c r="K6" s="11" t="s">
        <v>106</v>
      </c>
      <c r="L6" s="11" t="s">
        <v>56</v>
      </c>
      <c r="M6" s="9" t="s">
        <v>21</v>
      </c>
      <c r="N6" s="11" t="s">
        <v>82</v>
      </c>
      <c r="O6" s="9">
        <v>100</v>
      </c>
      <c r="P6" s="11" t="s">
        <v>95</v>
      </c>
      <c r="R6" t="s">
        <v>42</v>
      </c>
    </row>
    <row r="7" spans="1:24">
      <c r="A7" t="s">
        <v>2</v>
      </c>
      <c r="C7" s="9"/>
      <c r="D7" s="9"/>
      <c r="E7" s="9"/>
      <c r="F7" s="9"/>
      <c r="G7" s="9"/>
      <c r="H7" s="9"/>
      <c r="I7" s="9"/>
      <c r="J7" s="11"/>
      <c r="K7" s="11"/>
      <c r="L7" s="11"/>
      <c r="M7" s="9"/>
    </row>
    <row r="8" spans="1:24">
      <c r="C8" s="9"/>
      <c r="D8" s="9"/>
      <c r="E8" s="9"/>
      <c r="F8" s="9"/>
      <c r="G8" s="9"/>
      <c r="H8" s="9"/>
      <c r="L8" s="9"/>
    </row>
    <row r="9" spans="1:24">
      <c r="C9" s="9"/>
      <c r="D9" s="9"/>
      <c r="E9" s="9"/>
      <c r="F9" s="9"/>
      <c r="G9" s="9"/>
      <c r="H9" s="9"/>
      <c r="L9" s="9"/>
    </row>
    <row r="10" spans="1:24">
      <c r="C10" s="9"/>
      <c r="D10" s="9"/>
      <c r="E10" s="9"/>
      <c r="F10" s="9"/>
      <c r="G10" s="9"/>
      <c r="H10" s="9"/>
      <c r="L10" s="9"/>
    </row>
    <row r="11" spans="1:24">
      <c r="C11" s="9"/>
      <c r="D11" s="9"/>
      <c r="E11" s="9"/>
      <c r="F11" s="9"/>
      <c r="G11" s="9"/>
      <c r="H11" s="9"/>
      <c r="L11" s="9"/>
    </row>
    <row r="12" spans="1:24">
      <c r="C12" s="9"/>
      <c r="D12" s="9"/>
      <c r="E12" s="9"/>
      <c r="F12" s="9"/>
      <c r="G12" s="9"/>
      <c r="H12" s="9"/>
      <c r="I12" s="4"/>
      <c r="L12" s="9"/>
    </row>
    <row r="13" spans="1:24">
      <c r="C13" s="9"/>
      <c r="D13" s="9"/>
      <c r="E13" s="9"/>
      <c r="F13" s="9"/>
      <c r="G13" s="9"/>
      <c r="H13" s="9"/>
      <c r="L13" s="9"/>
    </row>
    <row r="14" spans="1:24">
      <c r="C14" s="9"/>
      <c r="D14" s="9"/>
      <c r="E14" s="9"/>
      <c r="F14" s="9"/>
      <c r="G14" s="9"/>
      <c r="H14" s="9"/>
      <c r="I14" s="3"/>
      <c r="L14" s="9"/>
    </row>
    <row r="15" spans="1:24">
      <c r="C15" s="9"/>
      <c r="D15" s="9"/>
      <c r="E15" s="9"/>
      <c r="F15" s="9"/>
      <c r="G15" s="9"/>
      <c r="H15" s="9"/>
      <c r="I15" s="4"/>
      <c r="L15" s="9"/>
    </row>
    <row r="16" spans="1:24">
      <c r="C16" s="9"/>
      <c r="D16" s="9"/>
      <c r="E16" s="9"/>
      <c r="F16" s="9"/>
      <c r="G16" s="9"/>
      <c r="H16" s="9"/>
      <c r="I16" s="4"/>
      <c r="L16" s="9"/>
    </row>
    <row r="17" spans="3:12">
      <c r="C17" s="9"/>
      <c r="D17" s="9"/>
      <c r="E17" s="9"/>
      <c r="F17" s="9"/>
      <c r="G17" s="9"/>
      <c r="H17" s="9"/>
      <c r="I17" s="9"/>
      <c r="L17" s="9"/>
    </row>
    <row r="18" spans="3:12">
      <c r="C18" s="9"/>
      <c r="D18" s="9"/>
      <c r="E18" s="9"/>
      <c r="F18" s="9"/>
      <c r="G18" s="9"/>
      <c r="H18" s="9"/>
      <c r="L18" s="9"/>
    </row>
    <row r="19" spans="3:12">
      <c r="C19" s="9"/>
      <c r="D19" s="9"/>
      <c r="E19" s="9"/>
      <c r="F19" s="9"/>
      <c r="G19" s="9"/>
      <c r="H19" s="9"/>
      <c r="L19" s="9"/>
    </row>
    <row r="20" spans="3:12">
      <c r="C20" s="9"/>
      <c r="D20" s="9"/>
      <c r="E20" s="9"/>
      <c r="F20" s="9"/>
      <c r="G20" s="9"/>
      <c r="H20" s="9"/>
      <c r="L20" s="9"/>
    </row>
    <row r="21" spans="3:12">
      <c r="C21" s="9"/>
      <c r="D21" s="9"/>
      <c r="E21" s="9"/>
      <c r="F21" s="9"/>
      <c r="G21" s="9"/>
      <c r="H21" s="9"/>
      <c r="L21" s="9"/>
    </row>
    <row r="22" spans="3:12">
      <c r="C22" s="9"/>
      <c r="D22" s="9"/>
      <c r="E22" s="9"/>
      <c r="F22" s="9"/>
      <c r="G22" s="9"/>
      <c r="H22" s="9"/>
      <c r="L22" s="9"/>
    </row>
    <row r="23" spans="3:12">
      <c r="C23" s="9"/>
      <c r="D23" s="9"/>
      <c r="E23" s="9"/>
      <c r="F23" s="9"/>
      <c r="G23" s="9"/>
      <c r="H23" s="9"/>
      <c r="L23" s="9"/>
    </row>
    <row r="24" spans="3:12">
      <c r="C24" s="9"/>
      <c r="D24" s="9"/>
      <c r="E24" s="9"/>
      <c r="F24" s="9"/>
      <c r="G24" s="9"/>
      <c r="H24" s="9"/>
      <c r="L24" s="9"/>
    </row>
    <row r="25" spans="3:12">
      <c r="C25" s="9"/>
      <c r="D25" s="9"/>
      <c r="E25" s="9"/>
      <c r="F25" s="9"/>
      <c r="G25" s="9"/>
      <c r="H25" s="9"/>
      <c r="L25" s="9"/>
    </row>
    <row r="26" spans="3:12">
      <c r="C26" s="9"/>
      <c r="D26" s="9"/>
      <c r="E26" s="9"/>
      <c r="F26" s="9"/>
      <c r="G26" s="9"/>
      <c r="H26" s="9"/>
      <c r="L26" s="9"/>
    </row>
    <row r="27" spans="3:12">
      <c r="C27" s="9"/>
      <c r="D27" s="9"/>
      <c r="E27" s="9"/>
      <c r="F27" s="9"/>
      <c r="G27" s="9"/>
      <c r="H27" s="9"/>
      <c r="L27" s="9"/>
    </row>
    <row r="28" spans="3:12">
      <c r="C28" s="9"/>
      <c r="D28" s="9"/>
      <c r="E28" s="9"/>
      <c r="F28" s="9"/>
      <c r="G28" s="9"/>
      <c r="H28" s="9"/>
      <c r="L28" s="9"/>
    </row>
    <row r="29" spans="3:12">
      <c r="C29" s="9"/>
      <c r="D29" s="9"/>
      <c r="E29" s="9"/>
      <c r="F29" s="9"/>
      <c r="G29" s="9"/>
      <c r="H29" s="9"/>
      <c r="L29" s="9"/>
    </row>
    <row r="30" spans="3:12">
      <c r="C30" s="9"/>
      <c r="D30" s="9"/>
      <c r="E30" s="9"/>
      <c r="F30" s="9"/>
      <c r="G30" s="9"/>
      <c r="H30" s="9"/>
      <c r="L30" s="9"/>
    </row>
    <row r="31" spans="3:12">
      <c r="C31" s="9"/>
      <c r="D31" s="9"/>
      <c r="E31" s="9"/>
      <c r="F31" s="9"/>
      <c r="G31" s="9"/>
      <c r="H31" s="9"/>
      <c r="L31" s="9"/>
    </row>
    <row r="32" spans="3:12">
      <c r="C32" s="9"/>
      <c r="D32" s="9"/>
      <c r="E32" s="9"/>
      <c r="F32" s="9"/>
      <c r="G32" s="9"/>
      <c r="H32" s="9"/>
      <c r="L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Enum!$H$2:$H$1029</xm:f>
          </x14:formula1>
          <xm:sqref>S3:S7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Y178"/>
  <sheetViews>
    <sheetView topLeftCell="A113" workbookViewId="0">
      <selection activeCell="L145" sqref="L145"/>
    </sheetView>
  </sheetViews>
  <sheetFormatPr baseColWidth="10" defaultColWidth="11.140625" defaultRowHeight="18"/>
  <cols>
    <col min="1" max="1" width="23.140625" bestFit="1" customWidth="1"/>
    <col min="8" max="8" width="35.7109375" bestFit="1" customWidth="1"/>
    <col min="9" max="9" width="36.85546875" bestFit="1" customWidth="1"/>
    <col min="10" max="10" width="23.7109375" bestFit="1" customWidth="1"/>
    <col min="12" max="12" width="23.140625" bestFit="1" customWidth="1"/>
  </cols>
  <sheetData>
    <row r="1" spans="1:25">
      <c r="A1" s="7"/>
      <c r="B1" s="7" t="s">
        <v>2</v>
      </c>
      <c r="C1" s="5" t="s">
        <v>221</v>
      </c>
      <c r="D1" s="5" t="s">
        <v>25</v>
      </c>
      <c r="E1" s="5" t="s">
        <v>2</v>
      </c>
      <c r="F1" s="5" t="s">
        <v>2</v>
      </c>
      <c r="G1" s="5" t="s">
        <v>16</v>
      </c>
      <c r="H1" s="8" t="s">
        <v>0</v>
      </c>
      <c r="I1" s="8" t="s">
        <v>0</v>
      </c>
      <c r="J1" s="8" t="s">
        <v>12</v>
      </c>
      <c r="K1" s="8" t="s">
        <v>14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>
      <c r="A2" s="7"/>
      <c r="B2" s="7"/>
      <c r="C2" s="6" t="s">
        <v>222</v>
      </c>
      <c r="D2" s="6" t="s">
        <v>27</v>
      </c>
      <c r="E2" s="6"/>
      <c r="F2" s="6"/>
      <c r="G2" s="6" t="s">
        <v>22</v>
      </c>
      <c r="H2" s="8" t="s">
        <v>246</v>
      </c>
      <c r="I2" s="8" t="s">
        <v>30</v>
      </c>
      <c r="J2" s="8" t="s">
        <v>13</v>
      </c>
      <c r="K2" s="8" t="s">
        <v>15</v>
      </c>
      <c r="L2" s="8" t="s">
        <v>31</v>
      </c>
      <c r="M2" s="6" t="s">
        <v>11</v>
      </c>
      <c r="N2" s="6" t="s">
        <v>90</v>
      </c>
      <c r="O2" s="6"/>
      <c r="P2" s="6"/>
      <c r="Q2" s="6"/>
      <c r="R2" s="6"/>
      <c r="S2" s="6"/>
      <c r="T2" s="6"/>
      <c r="U2" s="14"/>
      <c r="V2" s="6"/>
      <c r="W2" s="6"/>
      <c r="X2" s="6"/>
      <c r="Y2" s="6"/>
    </row>
    <row r="3" spans="1:25" ht="32" customHeight="1">
      <c r="A3" s="7" t="s">
        <v>2</v>
      </c>
      <c r="B3" s="23" t="s">
        <v>350</v>
      </c>
      <c r="C3" s="25"/>
      <c r="D3" s="25"/>
      <c r="E3" s="25"/>
      <c r="F3" s="25"/>
      <c r="G3" s="25"/>
      <c r="H3" s="23"/>
      <c r="I3" s="23" t="s">
        <v>351</v>
      </c>
      <c r="J3" s="23"/>
      <c r="K3" s="23"/>
      <c r="L3" s="23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</row>
    <row r="4" spans="1:25">
      <c r="A4" s="7" t="str">
        <f>_xlfn.TEXTJOIN("_",TRUE,B4:F4)</f>
        <v>Item_RHand_Bow</v>
      </c>
      <c r="B4" t="s">
        <v>26</v>
      </c>
      <c r="C4" t="s">
        <v>212</v>
      </c>
      <c r="D4" t="s">
        <v>209</v>
      </c>
      <c r="F4" s="9"/>
      <c r="G4" s="2"/>
      <c r="H4" t="s">
        <v>257</v>
      </c>
      <c r="I4" t="s">
        <v>257</v>
      </c>
      <c r="J4" s="11" t="s">
        <v>107</v>
      </c>
      <c r="K4" s="11" t="s">
        <v>355</v>
      </c>
      <c r="L4" s="11" t="s">
        <v>353</v>
      </c>
      <c r="M4" t="s">
        <v>11</v>
      </c>
      <c r="N4">
        <v>255</v>
      </c>
    </row>
    <row r="5" spans="1:25">
      <c r="A5" s="7" t="str">
        <f>_xlfn.TEXTJOIN("_",TRUE,B5:F5)</f>
        <v>Item_RHand_Bow</v>
      </c>
      <c r="B5" t="s">
        <v>26</v>
      </c>
      <c r="C5" t="s">
        <v>212</v>
      </c>
      <c r="D5" t="s">
        <v>209</v>
      </c>
      <c r="F5" s="9"/>
      <c r="G5" s="2"/>
      <c r="H5" t="s">
        <v>258</v>
      </c>
      <c r="I5" t="s">
        <v>258</v>
      </c>
      <c r="J5" s="11" t="s">
        <v>107</v>
      </c>
      <c r="K5" s="11" t="s">
        <v>355</v>
      </c>
      <c r="L5" s="11" t="s">
        <v>353</v>
      </c>
      <c r="M5" t="s">
        <v>11</v>
      </c>
      <c r="N5">
        <v>255</v>
      </c>
    </row>
    <row r="6" spans="1:25">
      <c r="A6" s="7" t="str">
        <f>_xlfn.TEXTJOIN("_",TRUE,B6:F6)</f>
        <v>Item_RHand_Bow</v>
      </c>
      <c r="B6" t="s">
        <v>26</v>
      </c>
      <c r="C6" t="s">
        <v>212</v>
      </c>
      <c r="D6" t="s">
        <v>209</v>
      </c>
      <c r="F6" s="9"/>
      <c r="G6" s="2"/>
      <c r="H6" t="s">
        <v>259</v>
      </c>
      <c r="I6" t="s">
        <v>259</v>
      </c>
      <c r="J6" s="11" t="s">
        <v>107</v>
      </c>
      <c r="K6" s="11" t="s">
        <v>355</v>
      </c>
      <c r="L6" s="11" t="s">
        <v>353</v>
      </c>
      <c r="M6" t="s">
        <v>11</v>
      </c>
      <c r="N6">
        <v>255</v>
      </c>
    </row>
    <row r="7" spans="1:25">
      <c r="A7" s="7" t="str">
        <f>_xlfn.TEXTJOIN("_",TRUE,B7:F7)</f>
        <v>Item_RHand_Bow</v>
      </c>
      <c r="B7" t="s">
        <v>26</v>
      </c>
      <c r="C7" t="s">
        <v>212</v>
      </c>
      <c r="D7" t="s">
        <v>209</v>
      </c>
      <c r="F7" s="9"/>
      <c r="H7" t="s">
        <v>260</v>
      </c>
      <c r="I7" t="s">
        <v>260</v>
      </c>
      <c r="J7" s="11" t="s">
        <v>107</v>
      </c>
      <c r="K7" s="11" t="s">
        <v>355</v>
      </c>
      <c r="L7" s="11" t="s">
        <v>353</v>
      </c>
      <c r="M7" t="s">
        <v>11</v>
      </c>
      <c r="N7">
        <v>255</v>
      </c>
    </row>
    <row r="8" spans="1:25">
      <c r="A8" s="7" t="str">
        <f>_xlfn.TEXTJOIN("_",TRUE,B8:F8)</f>
        <v>Item_RHand_Bow</v>
      </c>
      <c r="B8" t="s">
        <v>26</v>
      </c>
      <c r="C8" t="s">
        <v>212</v>
      </c>
      <c r="D8" t="s">
        <v>209</v>
      </c>
      <c r="F8" s="9"/>
      <c r="H8" t="s">
        <v>261</v>
      </c>
      <c r="I8" t="s">
        <v>261</v>
      </c>
      <c r="J8" s="11" t="s">
        <v>107</v>
      </c>
      <c r="K8" s="11" t="s">
        <v>355</v>
      </c>
      <c r="L8" s="11" t="s">
        <v>353</v>
      </c>
      <c r="M8" t="s">
        <v>11</v>
      </c>
      <c r="N8">
        <v>255</v>
      </c>
    </row>
    <row r="9" spans="1:25">
      <c r="A9" s="7" t="str">
        <f>_xlfn.TEXTJOIN("_",TRUE,B9:F9)</f>
        <v>Item_RHand_Bow</v>
      </c>
      <c r="B9" t="s">
        <v>26</v>
      </c>
      <c r="C9" t="s">
        <v>212</v>
      </c>
      <c r="D9" t="s">
        <v>209</v>
      </c>
      <c r="F9" s="9"/>
      <c r="H9" t="s">
        <v>262</v>
      </c>
      <c r="I9" t="s">
        <v>262</v>
      </c>
      <c r="J9" s="11" t="s">
        <v>107</v>
      </c>
      <c r="K9" s="11" t="s">
        <v>355</v>
      </c>
      <c r="L9" s="11" t="s">
        <v>353</v>
      </c>
      <c r="M9" t="s">
        <v>11</v>
      </c>
      <c r="N9">
        <v>255</v>
      </c>
    </row>
    <row r="10" spans="1:25">
      <c r="A10" s="7" t="str">
        <f>_xlfn.TEXTJOIN("_",TRUE,B10:F10)</f>
        <v>Item_RHand_Bow</v>
      </c>
      <c r="B10" t="s">
        <v>26</v>
      </c>
      <c r="C10" t="s">
        <v>212</v>
      </c>
      <c r="D10" t="s">
        <v>209</v>
      </c>
      <c r="F10" s="9"/>
      <c r="H10" t="s">
        <v>263</v>
      </c>
      <c r="I10" t="s">
        <v>263</v>
      </c>
      <c r="J10" s="11" t="s">
        <v>107</v>
      </c>
      <c r="K10" s="11" t="s">
        <v>355</v>
      </c>
      <c r="L10" s="11" t="s">
        <v>353</v>
      </c>
      <c r="M10" t="s">
        <v>11</v>
      </c>
      <c r="N10">
        <v>255</v>
      </c>
    </row>
    <row r="11" spans="1:25">
      <c r="A11" s="7" t="str">
        <f>_xlfn.TEXTJOIN("_",TRUE,B11:F11)</f>
        <v>Item_RHand_Bow</v>
      </c>
      <c r="B11" t="s">
        <v>26</v>
      </c>
      <c r="C11" t="s">
        <v>212</v>
      </c>
      <c r="D11" t="s">
        <v>209</v>
      </c>
      <c r="F11" s="9"/>
      <c r="H11" t="s">
        <v>264</v>
      </c>
      <c r="I11" t="s">
        <v>264</v>
      </c>
      <c r="J11" s="11" t="s">
        <v>356</v>
      </c>
      <c r="K11" s="11" t="s">
        <v>354</v>
      </c>
      <c r="L11" s="11" t="s">
        <v>353</v>
      </c>
      <c r="M11" t="s">
        <v>11</v>
      </c>
      <c r="N11">
        <v>255</v>
      </c>
    </row>
    <row r="12" spans="1:25">
      <c r="A12" s="7" t="s">
        <v>2</v>
      </c>
      <c r="F12" s="9"/>
      <c r="G12" s="9"/>
      <c r="H12" s="9"/>
      <c r="I12" s="9"/>
      <c r="L12" s="11"/>
      <c r="M12" s="11"/>
      <c r="N12" s="9"/>
    </row>
    <row r="13" spans="1:25">
      <c r="A13" s="7" t="str">
        <f>_xlfn.TEXTJOIN("_",TRUE,B13:F13)</f>
        <v>Item_RHand_Shield</v>
      </c>
      <c r="B13" t="s">
        <v>26</v>
      </c>
      <c r="C13" t="s">
        <v>212</v>
      </c>
      <c r="D13" t="s">
        <v>210</v>
      </c>
      <c r="F13" s="9"/>
      <c r="G13" s="9"/>
      <c r="H13" t="s">
        <v>247</v>
      </c>
      <c r="I13" t="s">
        <v>247</v>
      </c>
      <c r="J13" s="11" t="s">
        <v>356</v>
      </c>
      <c r="K13" s="11" t="s">
        <v>354</v>
      </c>
      <c r="L13" s="11"/>
      <c r="M13" t="s">
        <v>11</v>
      </c>
      <c r="N13">
        <v>255</v>
      </c>
    </row>
    <row r="14" spans="1:25">
      <c r="A14" s="7" t="str">
        <f>_xlfn.TEXTJOIN("_",TRUE,B14:F14)</f>
        <v>Item_RHand_Shield</v>
      </c>
      <c r="B14" t="s">
        <v>26</v>
      </c>
      <c r="C14" t="s">
        <v>212</v>
      </c>
      <c r="D14" t="s">
        <v>210</v>
      </c>
      <c r="F14" s="9"/>
      <c r="G14" s="9"/>
      <c r="H14" t="s">
        <v>248</v>
      </c>
      <c r="I14" t="s">
        <v>248</v>
      </c>
      <c r="J14" s="11" t="s">
        <v>356</v>
      </c>
      <c r="K14" s="11" t="s">
        <v>354</v>
      </c>
      <c r="L14" s="11"/>
      <c r="M14" t="s">
        <v>11</v>
      </c>
      <c r="N14">
        <v>255</v>
      </c>
    </row>
    <row r="15" spans="1:25">
      <c r="A15" s="7" t="str">
        <f t="shared" ref="A15:A22" si="0">_xlfn.TEXTJOIN("_",TRUE,B15:F15)</f>
        <v>Item_RHand_Shield</v>
      </c>
      <c r="B15" t="s">
        <v>26</v>
      </c>
      <c r="C15" t="s">
        <v>212</v>
      </c>
      <c r="D15" t="s">
        <v>210</v>
      </c>
      <c r="F15" s="9"/>
      <c r="G15" s="9"/>
      <c r="H15" t="s">
        <v>249</v>
      </c>
      <c r="I15" t="s">
        <v>249</v>
      </c>
      <c r="J15" s="11" t="s">
        <v>356</v>
      </c>
      <c r="K15" s="11" t="s">
        <v>354</v>
      </c>
      <c r="L15" s="11"/>
      <c r="M15" t="s">
        <v>11</v>
      </c>
      <c r="N15">
        <v>255</v>
      </c>
    </row>
    <row r="16" spans="1:25">
      <c r="A16" s="7" t="str">
        <f t="shared" si="0"/>
        <v>Item_RHand_Shield</v>
      </c>
      <c r="B16" t="s">
        <v>26</v>
      </c>
      <c r="C16" t="s">
        <v>212</v>
      </c>
      <c r="D16" t="s">
        <v>210</v>
      </c>
      <c r="F16" s="9"/>
      <c r="G16" s="9"/>
      <c r="H16" t="s">
        <v>250</v>
      </c>
      <c r="I16" t="s">
        <v>250</v>
      </c>
      <c r="J16" s="11" t="s">
        <v>356</v>
      </c>
      <c r="K16" s="11" t="s">
        <v>354</v>
      </c>
      <c r="L16" s="11"/>
      <c r="M16" t="s">
        <v>11</v>
      </c>
      <c r="N16">
        <v>255</v>
      </c>
    </row>
    <row r="17" spans="1:14">
      <c r="A17" s="7" t="str">
        <f t="shared" si="0"/>
        <v>Item_RHand_Shield</v>
      </c>
      <c r="B17" t="s">
        <v>26</v>
      </c>
      <c r="C17" t="s">
        <v>212</v>
      </c>
      <c r="D17" t="s">
        <v>210</v>
      </c>
      <c r="F17" s="9"/>
      <c r="G17" s="9"/>
      <c r="H17" t="s">
        <v>251</v>
      </c>
      <c r="I17" t="s">
        <v>251</v>
      </c>
      <c r="J17" s="11" t="s">
        <v>356</v>
      </c>
      <c r="K17" s="11" t="s">
        <v>354</v>
      </c>
      <c r="L17" s="11"/>
      <c r="M17" t="s">
        <v>11</v>
      </c>
      <c r="N17">
        <v>255</v>
      </c>
    </row>
    <row r="18" spans="1:14">
      <c r="A18" s="7" t="str">
        <f t="shared" si="0"/>
        <v>Item_RHand_Shield</v>
      </c>
      <c r="B18" t="s">
        <v>26</v>
      </c>
      <c r="C18" t="s">
        <v>212</v>
      </c>
      <c r="D18" t="s">
        <v>210</v>
      </c>
      <c r="F18" s="9"/>
      <c r="G18" s="9"/>
      <c r="H18" t="s">
        <v>252</v>
      </c>
      <c r="I18" t="s">
        <v>252</v>
      </c>
      <c r="J18" s="11" t="s">
        <v>356</v>
      </c>
      <c r="K18" s="11" t="s">
        <v>354</v>
      </c>
      <c r="L18" s="11"/>
      <c r="M18" t="s">
        <v>11</v>
      </c>
      <c r="N18">
        <v>255</v>
      </c>
    </row>
    <row r="19" spans="1:14">
      <c r="A19" s="7" t="str">
        <f t="shared" si="0"/>
        <v>Item_RHand_Shield</v>
      </c>
      <c r="B19" t="s">
        <v>26</v>
      </c>
      <c r="C19" t="s">
        <v>212</v>
      </c>
      <c r="D19" t="s">
        <v>210</v>
      </c>
      <c r="F19" s="9"/>
      <c r="G19" s="9"/>
      <c r="H19" t="s">
        <v>253</v>
      </c>
      <c r="I19" t="s">
        <v>253</v>
      </c>
      <c r="J19" s="11" t="s">
        <v>356</v>
      </c>
      <c r="K19" s="11" t="s">
        <v>354</v>
      </c>
      <c r="L19" s="11"/>
      <c r="M19" t="s">
        <v>11</v>
      </c>
      <c r="N19">
        <v>255</v>
      </c>
    </row>
    <row r="20" spans="1:14">
      <c r="A20" s="7" t="str">
        <f t="shared" si="0"/>
        <v>Item_RHand_Shield</v>
      </c>
      <c r="B20" t="s">
        <v>26</v>
      </c>
      <c r="C20" t="s">
        <v>212</v>
      </c>
      <c r="D20" t="s">
        <v>210</v>
      </c>
      <c r="F20" s="9"/>
      <c r="G20" s="9"/>
      <c r="H20" t="s">
        <v>254</v>
      </c>
      <c r="I20" t="s">
        <v>254</v>
      </c>
      <c r="J20" s="11" t="s">
        <v>356</v>
      </c>
      <c r="K20" s="11" t="s">
        <v>354</v>
      </c>
      <c r="L20" s="11"/>
      <c r="M20" t="s">
        <v>11</v>
      </c>
      <c r="N20">
        <v>255</v>
      </c>
    </row>
    <row r="21" spans="1:14">
      <c r="A21" s="7" t="str">
        <f t="shared" si="0"/>
        <v>Item_RHand_Shield</v>
      </c>
      <c r="B21" t="s">
        <v>26</v>
      </c>
      <c r="C21" t="s">
        <v>212</v>
      </c>
      <c r="D21" t="s">
        <v>210</v>
      </c>
      <c r="F21" s="9"/>
      <c r="G21" s="9"/>
      <c r="H21" t="s">
        <v>255</v>
      </c>
      <c r="I21" t="s">
        <v>255</v>
      </c>
      <c r="J21" s="11" t="s">
        <v>356</v>
      </c>
      <c r="K21" s="11" t="s">
        <v>354</v>
      </c>
      <c r="L21" s="11"/>
      <c r="M21" t="s">
        <v>11</v>
      </c>
      <c r="N21">
        <v>255</v>
      </c>
    </row>
    <row r="22" spans="1:14">
      <c r="A22" s="7" t="str">
        <f t="shared" si="0"/>
        <v>Item_RHand_Shield</v>
      </c>
      <c r="B22" t="s">
        <v>26</v>
      </c>
      <c r="C22" t="s">
        <v>212</v>
      </c>
      <c r="D22" t="s">
        <v>210</v>
      </c>
      <c r="F22" s="9"/>
      <c r="G22" s="9"/>
      <c r="H22" t="s">
        <v>256</v>
      </c>
      <c r="I22" t="s">
        <v>256</v>
      </c>
      <c r="J22" s="11" t="s">
        <v>356</v>
      </c>
      <c r="K22" s="11" t="s">
        <v>354</v>
      </c>
      <c r="L22" s="11"/>
      <c r="M22" t="s">
        <v>11</v>
      </c>
      <c r="N22">
        <v>255</v>
      </c>
    </row>
    <row r="23" spans="1:14">
      <c r="A23" s="7" t="s">
        <v>2</v>
      </c>
      <c r="F23" s="9"/>
      <c r="G23" s="9"/>
      <c r="H23" s="9"/>
      <c r="I23" s="9"/>
      <c r="L23" s="11"/>
      <c r="M23" s="11"/>
      <c r="N23" s="9"/>
    </row>
    <row r="24" spans="1:14">
      <c r="A24" s="7" t="str">
        <f t="shared" ref="A24" si="1">_xlfn.TEXTJOIN("_",TRUE,B24:F24)</f>
        <v>Item_LHand_Sword</v>
      </c>
      <c r="B24" t="s">
        <v>26</v>
      </c>
      <c r="C24" t="s">
        <v>213</v>
      </c>
      <c r="D24" t="s">
        <v>211</v>
      </c>
      <c r="F24" s="9"/>
      <c r="G24" s="9"/>
      <c r="H24" s="9" t="s">
        <v>223</v>
      </c>
      <c r="I24" s="9" t="s">
        <v>223</v>
      </c>
      <c r="J24" s="11" t="s">
        <v>356</v>
      </c>
      <c r="K24" s="11" t="s">
        <v>354</v>
      </c>
      <c r="L24" s="11"/>
      <c r="M24" t="s">
        <v>11</v>
      </c>
      <c r="N24">
        <v>255</v>
      </c>
    </row>
    <row r="25" spans="1:14">
      <c r="A25" s="7" t="str">
        <f t="shared" ref="A25:A41" si="2">_xlfn.TEXTJOIN("_",TRUE,B25:F25)</f>
        <v>Item_LHand_Sword</v>
      </c>
      <c r="B25" t="s">
        <v>26</v>
      </c>
      <c r="C25" t="s">
        <v>213</v>
      </c>
      <c r="D25" t="s">
        <v>211</v>
      </c>
      <c r="F25" s="9"/>
      <c r="G25" s="9"/>
      <c r="H25" s="9" t="s">
        <v>224</v>
      </c>
      <c r="I25" s="9" t="s">
        <v>224</v>
      </c>
      <c r="J25" s="11" t="s">
        <v>356</v>
      </c>
      <c r="K25" s="11" t="s">
        <v>354</v>
      </c>
      <c r="L25" s="11"/>
      <c r="M25" t="s">
        <v>11</v>
      </c>
      <c r="N25">
        <v>255</v>
      </c>
    </row>
    <row r="26" spans="1:14">
      <c r="A26" s="7" t="str">
        <f t="shared" si="2"/>
        <v>Item_LHand_Sword</v>
      </c>
      <c r="B26" t="s">
        <v>26</v>
      </c>
      <c r="C26" t="s">
        <v>213</v>
      </c>
      <c r="D26" t="s">
        <v>211</v>
      </c>
      <c r="F26" s="9"/>
      <c r="G26" s="9"/>
      <c r="H26" s="9" t="s">
        <v>225</v>
      </c>
      <c r="I26" s="9" t="s">
        <v>225</v>
      </c>
      <c r="J26" s="11" t="s">
        <v>356</v>
      </c>
      <c r="K26" s="11" t="s">
        <v>354</v>
      </c>
      <c r="L26" s="11"/>
      <c r="M26" t="s">
        <v>11</v>
      </c>
      <c r="N26">
        <v>255</v>
      </c>
    </row>
    <row r="27" spans="1:14">
      <c r="A27" s="7" t="str">
        <f t="shared" si="2"/>
        <v>Item_LHand_Sword</v>
      </c>
      <c r="B27" t="s">
        <v>26</v>
      </c>
      <c r="C27" t="s">
        <v>213</v>
      </c>
      <c r="D27" t="s">
        <v>211</v>
      </c>
      <c r="F27" s="9"/>
      <c r="G27" s="9"/>
      <c r="H27" s="9" t="s">
        <v>226</v>
      </c>
      <c r="I27" s="9" t="s">
        <v>226</v>
      </c>
      <c r="J27" s="11" t="s">
        <v>356</v>
      </c>
      <c r="K27" s="11" t="s">
        <v>354</v>
      </c>
      <c r="L27" s="11"/>
      <c r="M27" t="s">
        <v>11</v>
      </c>
      <c r="N27">
        <v>255</v>
      </c>
    </row>
    <row r="28" spans="1:14">
      <c r="A28" s="7" t="str">
        <f t="shared" si="2"/>
        <v>Item_LHand_Sword</v>
      </c>
      <c r="B28" t="s">
        <v>26</v>
      </c>
      <c r="C28" t="s">
        <v>213</v>
      </c>
      <c r="D28" t="s">
        <v>211</v>
      </c>
      <c r="F28" s="9"/>
      <c r="G28" s="9"/>
      <c r="H28" s="9" t="s">
        <v>227</v>
      </c>
      <c r="I28" s="9" t="s">
        <v>227</v>
      </c>
      <c r="J28" s="11" t="s">
        <v>356</v>
      </c>
      <c r="K28" s="11" t="s">
        <v>354</v>
      </c>
      <c r="L28" s="11"/>
      <c r="M28" t="s">
        <v>11</v>
      </c>
      <c r="N28">
        <v>255</v>
      </c>
    </row>
    <row r="29" spans="1:14">
      <c r="A29" s="7" t="str">
        <f t="shared" si="2"/>
        <v>Item_LHand_Sword</v>
      </c>
      <c r="B29" t="s">
        <v>26</v>
      </c>
      <c r="C29" t="s">
        <v>213</v>
      </c>
      <c r="D29" t="s">
        <v>211</v>
      </c>
      <c r="F29" s="9"/>
      <c r="G29" s="9"/>
      <c r="H29" s="9" t="s">
        <v>228</v>
      </c>
      <c r="I29" s="9" t="s">
        <v>228</v>
      </c>
      <c r="J29" s="11" t="s">
        <v>356</v>
      </c>
      <c r="K29" s="11" t="s">
        <v>354</v>
      </c>
      <c r="L29" s="11"/>
      <c r="M29" t="s">
        <v>11</v>
      </c>
      <c r="N29">
        <v>255</v>
      </c>
    </row>
    <row r="30" spans="1:14">
      <c r="A30" s="7" t="str">
        <f t="shared" si="2"/>
        <v>Item_LHand_Sword</v>
      </c>
      <c r="B30" t="s">
        <v>26</v>
      </c>
      <c r="C30" t="s">
        <v>213</v>
      </c>
      <c r="D30" t="s">
        <v>211</v>
      </c>
      <c r="F30" s="9"/>
      <c r="G30" s="9"/>
      <c r="H30" s="9" t="s">
        <v>229</v>
      </c>
      <c r="I30" s="9" t="s">
        <v>229</v>
      </c>
      <c r="J30" s="11" t="s">
        <v>356</v>
      </c>
      <c r="K30" s="11" t="s">
        <v>354</v>
      </c>
      <c r="L30" s="11"/>
      <c r="M30" t="s">
        <v>11</v>
      </c>
      <c r="N30">
        <v>255</v>
      </c>
    </row>
    <row r="31" spans="1:14">
      <c r="A31" s="7" t="str">
        <f t="shared" si="2"/>
        <v>Item_LHand_Sword</v>
      </c>
      <c r="B31" t="s">
        <v>26</v>
      </c>
      <c r="C31" t="s">
        <v>213</v>
      </c>
      <c r="D31" t="s">
        <v>211</v>
      </c>
      <c r="F31" s="9"/>
      <c r="G31" s="9"/>
      <c r="H31" s="9" t="s">
        <v>230</v>
      </c>
      <c r="I31" s="9" t="s">
        <v>230</v>
      </c>
      <c r="J31" s="11" t="s">
        <v>356</v>
      </c>
      <c r="K31" s="11" t="s">
        <v>354</v>
      </c>
      <c r="L31" s="11"/>
      <c r="M31" t="s">
        <v>11</v>
      </c>
      <c r="N31">
        <v>255</v>
      </c>
    </row>
    <row r="32" spans="1:14">
      <c r="A32" s="7" t="str">
        <f t="shared" si="2"/>
        <v>Item_LHand_Sword</v>
      </c>
      <c r="B32" t="s">
        <v>26</v>
      </c>
      <c r="C32" t="s">
        <v>213</v>
      </c>
      <c r="D32" t="s">
        <v>211</v>
      </c>
      <c r="F32" s="9"/>
      <c r="G32" s="9"/>
      <c r="H32" s="9" t="s">
        <v>231</v>
      </c>
      <c r="I32" s="9" t="s">
        <v>231</v>
      </c>
      <c r="J32" s="11" t="s">
        <v>356</v>
      </c>
      <c r="K32" s="11" t="s">
        <v>354</v>
      </c>
      <c r="L32" s="11"/>
      <c r="M32" t="s">
        <v>11</v>
      </c>
      <c r="N32">
        <v>255</v>
      </c>
    </row>
    <row r="33" spans="1:14">
      <c r="A33" s="7" t="str">
        <f t="shared" si="2"/>
        <v>Item_LHand_Sword</v>
      </c>
      <c r="B33" t="s">
        <v>26</v>
      </c>
      <c r="C33" t="s">
        <v>213</v>
      </c>
      <c r="D33" t="s">
        <v>211</v>
      </c>
      <c r="F33" s="9"/>
      <c r="G33" s="9"/>
      <c r="H33" s="9" t="s">
        <v>232</v>
      </c>
      <c r="I33" s="9" t="s">
        <v>232</v>
      </c>
      <c r="J33" s="11" t="s">
        <v>356</v>
      </c>
      <c r="K33" s="11" t="s">
        <v>354</v>
      </c>
      <c r="L33" s="11"/>
      <c r="M33" t="s">
        <v>11</v>
      </c>
      <c r="N33">
        <v>255</v>
      </c>
    </row>
    <row r="34" spans="1:14">
      <c r="A34" s="7" t="str">
        <f t="shared" si="2"/>
        <v>Item_LHand_Sword</v>
      </c>
      <c r="B34" t="s">
        <v>26</v>
      </c>
      <c r="C34" t="s">
        <v>213</v>
      </c>
      <c r="D34" t="s">
        <v>211</v>
      </c>
      <c r="F34" s="9"/>
      <c r="G34" s="9"/>
      <c r="H34" s="9" t="s">
        <v>233</v>
      </c>
      <c r="I34" s="9" t="s">
        <v>233</v>
      </c>
      <c r="J34" s="11" t="s">
        <v>356</v>
      </c>
      <c r="K34" s="11" t="s">
        <v>354</v>
      </c>
      <c r="L34" s="11"/>
      <c r="M34" t="s">
        <v>11</v>
      </c>
      <c r="N34">
        <v>255</v>
      </c>
    </row>
    <row r="35" spans="1:14">
      <c r="A35" s="7" t="str">
        <f t="shared" si="2"/>
        <v>Item_LHand_Sword</v>
      </c>
      <c r="B35" t="s">
        <v>26</v>
      </c>
      <c r="C35" t="s">
        <v>213</v>
      </c>
      <c r="D35" t="s">
        <v>211</v>
      </c>
      <c r="F35" s="9"/>
      <c r="G35" s="9"/>
      <c r="H35" s="9" t="s">
        <v>234</v>
      </c>
      <c r="I35" s="9" t="s">
        <v>234</v>
      </c>
      <c r="J35" s="11" t="s">
        <v>356</v>
      </c>
      <c r="K35" s="11" t="s">
        <v>354</v>
      </c>
      <c r="L35" s="11"/>
      <c r="M35" t="s">
        <v>11</v>
      </c>
      <c r="N35">
        <v>255</v>
      </c>
    </row>
    <row r="36" spans="1:14">
      <c r="A36" s="7" t="str">
        <f t="shared" si="2"/>
        <v>Item_LHand_Sword</v>
      </c>
      <c r="B36" t="s">
        <v>26</v>
      </c>
      <c r="C36" t="s">
        <v>213</v>
      </c>
      <c r="D36" t="s">
        <v>211</v>
      </c>
      <c r="F36" s="9"/>
      <c r="G36" s="9"/>
      <c r="H36" s="9" t="s">
        <v>235</v>
      </c>
      <c r="I36" s="9" t="s">
        <v>235</v>
      </c>
      <c r="J36" s="11" t="s">
        <v>356</v>
      </c>
      <c r="K36" s="11" t="s">
        <v>354</v>
      </c>
      <c r="L36" s="11"/>
      <c r="M36" t="s">
        <v>11</v>
      </c>
      <c r="N36">
        <v>255</v>
      </c>
    </row>
    <row r="37" spans="1:14">
      <c r="A37" s="7" t="str">
        <f t="shared" si="2"/>
        <v>Item_LHand_Sword</v>
      </c>
      <c r="B37" t="s">
        <v>26</v>
      </c>
      <c r="C37" t="s">
        <v>213</v>
      </c>
      <c r="D37" t="s">
        <v>211</v>
      </c>
      <c r="F37" s="9"/>
      <c r="G37" s="9"/>
      <c r="H37" s="9" t="s">
        <v>236</v>
      </c>
      <c r="I37" s="9" t="s">
        <v>236</v>
      </c>
      <c r="J37" s="11" t="s">
        <v>356</v>
      </c>
      <c r="K37" s="11" t="s">
        <v>354</v>
      </c>
      <c r="L37" s="11"/>
      <c r="M37" t="s">
        <v>11</v>
      </c>
      <c r="N37">
        <v>255</v>
      </c>
    </row>
    <row r="38" spans="1:14">
      <c r="A38" s="7" t="str">
        <f t="shared" si="2"/>
        <v>Item_LHand_Sword</v>
      </c>
      <c r="B38" t="s">
        <v>26</v>
      </c>
      <c r="C38" t="s">
        <v>213</v>
      </c>
      <c r="D38" t="s">
        <v>211</v>
      </c>
      <c r="F38" s="9"/>
      <c r="G38" s="9"/>
      <c r="H38" s="9" t="s">
        <v>237</v>
      </c>
      <c r="I38" s="9" t="s">
        <v>237</v>
      </c>
      <c r="J38" s="11" t="s">
        <v>356</v>
      </c>
      <c r="K38" s="11" t="s">
        <v>354</v>
      </c>
      <c r="L38" s="11"/>
      <c r="M38" t="s">
        <v>11</v>
      </c>
      <c r="N38">
        <v>255</v>
      </c>
    </row>
    <row r="39" spans="1:14">
      <c r="A39" s="7" t="str">
        <f t="shared" si="2"/>
        <v>Item_LHand_Sword</v>
      </c>
      <c r="B39" t="s">
        <v>26</v>
      </c>
      <c r="C39" t="s">
        <v>213</v>
      </c>
      <c r="D39" t="s">
        <v>211</v>
      </c>
      <c r="F39" s="9"/>
      <c r="G39" s="9"/>
      <c r="H39" s="9" t="s">
        <v>238</v>
      </c>
      <c r="I39" s="9" t="s">
        <v>238</v>
      </c>
      <c r="J39" s="11" t="s">
        <v>356</v>
      </c>
      <c r="K39" s="11" t="s">
        <v>354</v>
      </c>
      <c r="L39" s="11"/>
      <c r="M39" t="s">
        <v>11</v>
      </c>
      <c r="N39">
        <v>255</v>
      </c>
    </row>
    <row r="40" spans="1:14">
      <c r="A40" s="7" t="str">
        <f t="shared" si="2"/>
        <v>Item_LHand_Sword</v>
      </c>
      <c r="B40" t="s">
        <v>26</v>
      </c>
      <c r="C40" t="s">
        <v>213</v>
      </c>
      <c r="D40" t="s">
        <v>211</v>
      </c>
      <c r="F40" s="9"/>
      <c r="G40" s="9"/>
      <c r="H40" s="9" t="s">
        <v>239</v>
      </c>
      <c r="I40" s="9" t="s">
        <v>239</v>
      </c>
      <c r="J40" s="11" t="s">
        <v>356</v>
      </c>
      <c r="K40" s="11" t="s">
        <v>354</v>
      </c>
      <c r="L40" s="11"/>
      <c r="M40" t="s">
        <v>11</v>
      </c>
      <c r="N40">
        <v>255</v>
      </c>
    </row>
    <row r="41" spans="1:14">
      <c r="A41" s="7" t="str">
        <f t="shared" si="2"/>
        <v>Item_LHand_Sword</v>
      </c>
      <c r="B41" t="s">
        <v>26</v>
      </c>
      <c r="C41" t="s">
        <v>213</v>
      </c>
      <c r="D41" t="s">
        <v>211</v>
      </c>
      <c r="F41" s="9"/>
      <c r="G41" s="9"/>
      <c r="H41" s="9" t="s">
        <v>240</v>
      </c>
      <c r="I41" s="9" t="s">
        <v>240</v>
      </c>
      <c r="J41" s="11" t="s">
        <v>356</v>
      </c>
      <c r="K41" s="11" t="s">
        <v>354</v>
      </c>
      <c r="L41" s="11"/>
      <c r="M41" t="s">
        <v>11</v>
      </c>
      <c r="N41">
        <v>255</v>
      </c>
    </row>
    <row r="42" spans="1:14">
      <c r="A42" s="7" t="s">
        <v>2</v>
      </c>
      <c r="F42" s="9"/>
      <c r="G42" s="9"/>
      <c r="H42" s="9"/>
      <c r="I42" s="9"/>
      <c r="L42" s="11"/>
      <c r="M42" s="11"/>
      <c r="N42" s="9"/>
    </row>
    <row r="43" spans="1:14">
      <c r="A43" s="7" t="str">
        <f t="shared" ref="A43:A47" si="3">_xlfn.TEXTJOIN("_",TRUE,B43:F43)</f>
        <v>Item_LHand_Staff</v>
      </c>
      <c r="B43" t="s">
        <v>26</v>
      </c>
      <c r="C43" t="s">
        <v>213</v>
      </c>
      <c r="D43" t="s">
        <v>217</v>
      </c>
      <c r="F43" s="9"/>
      <c r="G43" s="9"/>
      <c r="H43" s="22" t="s">
        <v>241</v>
      </c>
      <c r="I43" s="22" t="s">
        <v>241</v>
      </c>
      <c r="J43" s="11" t="s">
        <v>356</v>
      </c>
      <c r="K43" s="11" t="s">
        <v>354</v>
      </c>
      <c r="L43" s="11"/>
      <c r="M43" t="s">
        <v>11</v>
      </c>
      <c r="N43">
        <v>255</v>
      </c>
    </row>
    <row r="44" spans="1:14">
      <c r="A44" s="7" t="str">
        <f t="shared" si="3"/>
        <v>Item_LHand_Staff</v>
      </c>
      <c r="B44" t="s">
        <v>26</v>
      </c>
      <c r="C44" t="s">
        <v>213</v>
      </c>
      <c r="D44" t="s">
        <v>217</v>
      </c>
      <c r="F44" s="9"/>
      <c r="G44" s="9"/>
      <c r="H44" s="22" t="s">
        <v>242</v>
      </c>
      <c r="I44" s="22" t="s">
        <v>242</v>
      </c>
      <c r="J44" s="11" t="s">
        <v>356</v>
      </c>
      <c r="K44" s="11" t="s">
        <v>354</v>
      </c>
      <c r="L44" s="11"/>
      <c r="M44" t="s">
        <v>11</v>
      </c>
      <c r="N44">
        <v>255</v>
      </c>
    </row>
    <row r="45" spans="1:14">
      <c r="A45" s="7" t="str">
        <f t="shared" si="3"/>
        <v>Item_LHand_Staff</v>
      </c>
      <c r="B45" t="s">
        <v>26</v>
      </c>
      <c r="C45" t="s">
        <v>213</v>
      </c>
      <c r="D45" t="s">
        <v>217</v>
      </c>
      <c r="F45" s="9"/>
      <c r="G45" s="9"/>
      <c r="H45" s="22" t="s">
        <v>243</v>
      </c>
      <c r="I45" s="22" t="s">
        <v>243</v>
      </c>
      <c r="J45" s="11" t="s">
        <v>356</v>
      </c>
      <c r="K45" s="11" t="s">
        <v>354</v>
      </c>
      <c r="L45" s="11"/>
      <c r="M45" t="s">
        <v>11</v>
      </c>
      <c r="N45">
        <v>255</v>
      </c>
    </row>
    <row r="46" spans="1:14">
      <c r="A46" s="7" t="str">
        <f t="shared" si="3"/>
        <v>Item_LHand_Staff</v>
      </c>
      <c r="B46" t="s">
        <v>26</v>
      </c>
      <c r="C46" t="s">
        <v>213</v>
      </c>
      <c r="D46" t="s">
        <v>217</v>
      </c>
      <c r="F46" s="9"/>
      <c r="G46" s="9"/>
      <c r="H46" s="22" t="s">
        <v>244</v>
      </c>
      <c r="I46" s="22" t="s">
        <v>244</v>
      </c>
      <c r="J46" s="11" t="s">
        <v>356</v>
      </c>
      <c r="K46" s="11" t="s">
        <v>354</v>
      </c>
      <c r="L46" s="11"/>
      <c r="M46" t="s">
        <v>11</v>
      </c>
      <c r="N46">
        <v>255</v>
      </c>
    </row>
    <row r="47" spans="1:14">
      <c r="A47" s="7" t="str">
        <f t="shared" si="3"/>
        <v>Item_LHand_Staff</v>
      </c>
      <c r="B47" t="s">
        <v>26</v>
      </c>
      <c r="C47" t="s">
        <v>213</v>
      </c>
      <c r="D47" t="s">
        <v>217</v>
      </c>
      <c r="F47" s="9"/>
      <c r="G47" s="9"/>
      <c r="H47" s="22" t="s">
        <v>245</v>
      </c>
      <c r="I47" s="22" t="s">
        <v>245</v>
      </c>
      <c r="J47" s="11" t="s">
        <v>356</v>
      </c>
      <c r="K47" s="11" t="s">
        <v>354</v>
      </c>
      <c r="L47" s="11"/>
      <c r="M47" t="s">
        <v>11</v>
      </c>
      <c r="N47">
        <v>255</v>
      </c>
    </row>
    <row r="48" spans="1:14">
      <c r="A48" s="7" t="s">
        <v>2</v>
      </c>
      <c r="F48" s="9"/>
      <c r="G48" s="9"/>
      <c r="H48" s="9"/>
      <c r="I48" s="9"/>
      <c r="L48" s="11"/>
      <c r="M48" s="11"/>
      <c r="N48" s="9"/>
    </row>
    <row r="49" spans="1:14">
      <c r="A49" s="7" t="str">
        <f t="shared" ref="A49:A75" si="4">_xlfn.TEXTJOIN("_",TRUE,B49:F49)</f>
        <v>Item_Top_Top</v>
      </c>
      <c r="B49" t="s">
        <v>26</v>
      </c>
      <c r="C49" t="s">
        <v>214</v>
      </c>
      <c r="D49" t="s">
        <v>214</v>
      </c>
      <c r="F49" s="9"/>
      <c r="G49" s="9"/>
      <c r="H49" s="9" t="s">
        <v>265</v>
      </c>
      <c r="I49" s="9" t="s">
        <v>265</v>
      </c>
      <c r="J49" s="11" t="s">
        <v>356</v>
      </c>
      <c r="K49" s="11" t="s">
        <v>354</v>
      </c>
      <c r="L49" s="11"/>
      <c r="M49" t="s">
        <v>11</v>
      </c>
      <c r="N49">
        <v>255</v>
      </c>
    </row>
    <row r="50" spans="1:14">
      <c r="A50" s="7" t="str">
        <f t="shared" si="4"/>
        <v>Item_Top_Top</v>
      </c>
      <c r="B50" t="s">
        <v>26</v>
      </c>
      <c r="C50" t="s">
        <v>214</v>
      </c>
      <c r="D50" t="s">
        <v>214</v>
      </c>
      <c r="F50" s="9"/>
      <c r="G50" s="9"/>
      <c r="H50" s="9" t="s">
        <v>266</v>
      </c>
      <c r="I50" s="9" t="s">
        <v>266</v>
      </c>
      <c r="J50" s="11" t="s">
        <v>356</v>
      </c>
      <c r="K50" s="11" t="s">
        <v>354</v>
      </c>
      <c r="L50" s="11"/>
      <c r="M50" t="s">
        <v>11</v>
      </c>
      <c r="N50">
        <v>255</v>
      </c>
    </row>
    <row r="51" spans="1:14">
      <c r="A51" s="7" t="str">
        <f t="shared" si="4"/>
        <v>Item_Top_Top</v>
      </c>
      <c r="B51" t="s">
        <v>26</v>
      </c>
      <c r="C51" t="s">
        <v>214</v>
      </c>
      <c r="D51" t="s">
        <v>214</v>
      </c>
      <c r="F51" s="9"/>
      <c r="G51" s="9"/>
      <c r="H51" s="9" t="s">
        <v>267</v>
      </c>
      <c r="I51" s="9" t="s">
        <v>267</v>
      </c>
      <c r="J51" s="11" t="s">
        <v>356</v>
      </c>
      <c r="K51" s="11" t="s">
        <v>354</v>
      </c>
      <c r="L51" s="11"/>
      <c r="M51" t="s">
        <v>11</v>
      </c>
      <c r="N51">
        <v>255</v>
      </c>
    </row>
    <row r="52" spans="1:14">
      <c r="A52" s="7" t="str">
        <f t="shared" si="4"/>
        <v>Item_Top_Top</v>
      </c>
      <c r="B52" t="s">
        <v>26</v>
      </c>
      <c r="C52" t="s">
        <v>214</v>
      </c>
      <c r="D52" t="s">
        <v>214</v>
      </c>
      <c r="F52" s="9"/>
      <c r="G52" s="9"/>
      <c r="H52" s="9" t="s">
        <v>268</v>
      </c>
      <c r="I52" s="9" t="s">
        <v>268</v>
      </c>
      <c r="J52" s="11" t="s">
        <v>356</v>
      </c>
      <c r="K52" s="11" t="s">
        <v>354</v>
      </c>
      <c r="L52" s="11"/>
      <c r="M52" t="s">
        <v>11</v>
      </c>
      <c r="N52">
        <v>255</v>
      </c>
    </row>
    <row r="53" spans="1:14">
      <c r="A53" s="7" t="str">
        <f t="shared" si="4"/>
        <v>Item_Top_Top</v>
      </c>
      <c r="B53" t="s">
        <v>26</v>
      </c>
      <c r="C53" t="s">
        <v>214</v>
      </c>
      <c r="D53" t="s">
        <v>214</v>
      </c>
      <c r="F53" s="9"/>
      <c r="G53" s="9"/>
      <c r="H53" s="9" t="s">
        <v>269</v>
      </c>
      <c r="I53" s="9" t="s">
        <v>269</v>
      </c>
      <c r="J53" s="11" t="s">
        <v>356</v>
      </c>
      <c r="K53" s="11" t="s">
        <v>354</v>
      </c>
      <c r="L53" s="11"/>
      <c r="M53" t="s">
        <v>11</v>
      </c>
      <c r="N53">
        <v>255</v>
      </c>
    </row>
    <row r="54" spans="1:14">
      <c r="A54" s="7" t="str">
        <f t="shared" si="4"/>
        <v>Item_Top_Top</v>
      </c>
      <c r="B54" t="s">
        <v>26</v>
      </c>
      <c r="C54" t="s">
        <v>214</v>
      </c>
      <c r="D54" t="s">
        <v>214</v>
      </c>
      <c r="F54" s="9"/>
      <c r="G54" s="9"/>
      <c r="H54" s="9" t="s">
        <v>270</v>
      </c>
      <c r="I54" s="9" t="s">
        <v>270</v>
      </c>
      <c r="J54" s="11" t="s">
        <v>356</v>
      </c>
      <c r="K54" s="11" t="s">
        <v>354</v>
      </c>
      <c r="L54" s="11"/>
      <c r="M54" t="s">
        <v>11</v>
      </c>
      <c r="N54">
        <v>255</v>
      </c>
    </row>
    <row r="55" spans="1:14">
      <c r="A55" s="7" t="str">
        <f t="shared" si="4"/>
        <v>Item_Top_Top</v>
      </c>
      <c r="B55" t="s">
        <v>26</v>
      </c>
      <c r="C55" t="s">
        <v>214</v>
      </c>
      <c r="D55" t="s">
        <v>214</v>
      </c>
      <c r="F55" s="9"/>
      <c r="G55" s="9"/>
      <c r="H55" s="9" t="s">
        <v>271</v>
      </c>
      <c r="I55" s="9" t="s">
        <v>271</v>
      </c>
      <c r="J55" s="11" t="s">
        <v>356</v>
      </c>
      <c r="K55" s="11" t="s">
        <v>354</v>
      </c>
      <c r="L55" s="11"/>
      <c r="M55" t="s">
        <v>11</v>
      </c>
      <c r="N55">
        <v>255</v>
      </c>
    </row>
    <row r="56" spans="1:14">
      <c r="A56" s="7" t="str">
        <f t="shared" si="4"/>
        <v>Item_Top_Top</v>
      </c>
      <c r="B56" t="s">
        <v>26</v>
      </c>
      <c r="C56" t="s">
        <v>214</v>
      </c>
      <c r="D56" t="s">
        <v>214</v>
      </c>
      <c r="F56" s="9"/>
      <c r="G56" s="9"/>
      <c r="H56" s="9" t="s">
        <v>272</v>
      </c>
      <c r="I56" s="9" t="s">
        <v>272</v>
      </c>
      <c r="J56" s="11" t="s">
        <v>356</v>
      </c>
      <c r="K56" s="11" t="s">
        <v>354</v>
      </c>
      <c r="L56" s="11"/>
      <c r="M56" t="s">
        <v>11</v>
      </c>
      <c r="N56">
        <v>255</v>
      </c>
    </row>
    <row r="57" spans="1:14">
      <c r="A57" s="7" t="str">
        <f t="shared" si="4"/>
        <v>Item_Top_Top</v>
      </c>
      <c r="B57" t="s">
        <v>26</v>
      </c>
      <c r="C57" t="s">
        <v>214</v>
      </c>
      <c r="D57" t="s">
        <v>214</v>
      </c>
      <c r="F57" s="9"/>
      <c r="G57" s="9"/>
      <c r="H57" s="9" t="s">
        <v>273</v>
      </c>
      <c r="I57" s="9" t="s">
        <v>273</v>
      </c>
      <c r="J57" s="11" t="s">
        <v>356</v>
      </c>
      <c r="K57" s="11" t="s">
        <v>354</v>
      </c>
      <c r="L57" s="11"/>
      <c r="M57" t="s">
        <v>11</v>
      </c>
      <c r="N57">
        <v>255</v>
      </c>
    </row>
    <row r="58" spans="1:14">
      <c r="A58" s="7" t="str">
        <f t="shared" si="4"/>
        <v>Item_Top_Top</v>
      </c>
      <c r="B58" t="s">
        <v>26</v>
      </c>
      <c r="C58" t="s">
        <v>214</v>
      </c>
      <c r="D58" t="s">
        <v>214</v>
      </c>
      <c r="F58" s="9"/>
      <c r="G58" s="9"/>
      <c r="H58" s="9" t="s">
        <v>274</v>
      </c>
      <c r="I58" s="9" t="s">
        <v>274</v>
      </c>
      <c r="J58" s="11" t="s">
        <v>356</v>
      </c>
      <c r="K58" s="11" t="s">
        <v>354</v>
      </c>
      <c r="L58" s="11"/>
      <c r="M58" t="s">
        <v>11</v>
      </c>
      <c r="N58">
        <v>255</v>
      </c>
    </row>
    <row r="59" spans="1:14">
      <c r="A59" s="7" t="str">
        <f t="shared" si="4"/>
        <v>Item_Top_Top</v>
      </c>
      <c r="B59" t="s">
        <v>26</v>
      </c>
      <c r="C59" t="s">
        <v>214</v>
      </c>
      <c r="D59" t="s">
        <v>214</v>
      </c>
      <c r="F59" s="9"/>
      <c r="G59" s="9"/>
      <c r="H59" s="9" t="s">
        <v>275</v>
      </c>
      <c r="I59" s="9" t="s">
        <v>275</v>
      </c>
      <c r="J59" s="11" t="s">
        <v>356</v>
      </c>
      <c r="K59" s="11" t="s">
        <v>354</v>
      </c>
      <c r="L59" s="11"/>
      <c r="M59" t="s">
        <v>11</v>
      </c>
      <c r="N59">
        <v>255</v>
      </c>
    </row>
    <row r="60" spans="1:14">
      <c r="A60" s="7" t="str">
        <f t="shared" si="4"/>
        <v>Item_Top_Top</v>
      </c>
      <c r="B60" t="s">
        <v>26</v>
      </c>
      <c r="C60" t="s">
        <v>214</v>
      </c>
      <c r="D60" t="s">
        <v>214</v>
      </c>
      <c r="F60" s="9"/>
      <c r="G60" s="9"/>
      <c r="H60" s="9" t="s">
        <v>276</v>
      </c>
      <c r="I60" s="9" t="s">
        <v>276</v>
      </c>
      <c r="J60" s="11" t="s">
        <v>356</v>
      </c>
      <c r="K60" s="11" t="s">
        <v>354</v>
      </c>
      <c r="L60" s="11"/>
      <c r="M60" t="s">
        <v>11</v>
      </c>
      <c r="N60">
        <v>255</v>
      </c>
    </row>
    <row r="61" spans="1:14">
      <c r="A61" s="7" t="str">
        <f t="shared" si="4"/>
        <v>Item_Top_Top</v>
      </c>
      <c r="B61" t="s">
        <v>26</v>
      </c>
      <c r="C61" t="s">
        <v>214</v>
      </c>
      <c r="D61" t="s">
        <v>214</v>
      </c>
      <c r="F61" s="9"/>
      <c r="G61" s="9"/>
      <c r="H61" s="9" t="s">
        <v>277</v>
      </c>
      <c r="I61" s="9" t="s">
        <v>277</v>
      </c>
      <c r="J61" s="11" t="s">
        <v>356</v>
      </c>
      <c r="K61" s="11" t="s">
        <v>354</v>
      </c>
      <c r="L61" s="11"/>
      <c r="M61" t="s">
        <v>11</v>
      </c>
      <c r="N61">
        <v>255</v>
      </c>
    </row>
    <row r="62" spans="1:14">
      <c r="A62" s="7" t="str">
        <f t="shared" si="4"/>
        <v>Item_Top_Top</v>
      </c>
      <c r="B62" t="s">
        <v>26</v>
      </c>
      <c r="C62" t="s">
        <v>214</v>
      </c>
      <c r="D62" t="s">
        <v>214</v>
      </c>
      <c r="F62" s="9"/>
      <c r="G62" s="9"/>
      <c r="H62" s="9" t="s">
        <v>278</v>
      </c>
      <c r="I62" s="9" t="s">
        <v>278</v>
      </c>
      <c r="J62" s="11" t="s">
        <v>356</v>
      </c>
      <c r="K62" s="11" t="s">
        <v>354</v>
      </c>
      <c r="L62" s="11"/>
      <c r="M62" t="s">
        <v>11</v>
      </c>
      <c r="N62">
        <v>255</v>
      </c>
    </row>
    <row r="63" spans="1:14">
      <c r="A63" s="7" t="str">
        <f t="shared" si="4"/>
        <v>Item_Top_Top</v>
      </c>
      <c r="B63" t="s">
        <v>26</v>
      </c>
      <c r="C63" t="s">
        <v>214</v>
      </c>
      <c r="D63" t="s">
        <v>214</v>
      </c>
      <c r="F63" s="9"/>
      <c r="G63" s="9"/>
      <c r="H63" s="9" t="s">
        <v>279</v>
      </c>
      <c r="I63" s="9" t="s">
        <v>279</v>
      </c>
      <c r="J63" s="11" t="s">
        <v>356</v>
      </c>
      <c r="K63" s="11" t="s">
        <v>354</v>
      </c>
      <c r="L63" s="11"/>
      <c r="M63" t="s">
        <v>11</v>
      </c>
      <c r="N63">
        <v>255</v>
      </c>
    </row>
    <row r="64" spans="1:14">
      <c r="A64" s="7" t="str">
        <f t="shared" si="4"/>
        <v>Item_Top_Top</v>
      </c>
      <c r="B64" t="s">
        <v>26</v>
      </c>
      <c r="C64" t="s">
        <v>214</v>
      </c>
      <c r="D64" t="s">
        <v>214</v>
      </c>
      <c r="F64" s="9"/>
      <c r="G64" s="9"/>
      <c r="H64" s="9" t="s">
        <v>280</v>
      </c>
      <c r="I64" s="9" t="s">
        <v>280</v>
      </c>
      <c r="J64" s="11" t="s">
        <v>356</v>
      </c>
      <c r="K64" s="11" t="s">
        <v>354</v>
      </c>
      <c r="L64" s="11"/>
      <c r="M64" t="s">
        <v>11</v>
      </c>
      <c r="N64">
        <v>255</v>
      </c>
    </row>
    <row r="65" spans="1:14">
      <c r="A65" s="7" t="str">
        <f t="shared" si="4"/>
        <v>Item_Top_Top</v>
      </c>
      <c r="B65" t="s">
        <v>26</v>
      </c>
      <c r="C65" t="s">
        <v>214</v>
      </c>
      <c r="D65" t="s">
        <v>214</v>
      </c>
      <c r="F65" s="9"/>
      <c r="G65" s="9"/>
      <c r="H65" s="9" t="s">
        <v>281</v>
      </c>
      <c r="I65" s="9" t="s">
        <v>281</v>
      </c>
      <c r="J65" s="11" t="s">
        <v>356</v>
      </c>
      <c r="K65" s="11" t="s">
        <v>354</v>
      </c>
      <c r="L65" s="11"/>
      <c r="M65" t="s">
        <v>11</v>
      </c>
      <c r="N65">
        <v>255</v>
      </c>
    </row>
    <row r="66" spans="1:14">
      <c r="A66" s="7" t="str">
        <f t="shared" si="4"/>
        <v>Item_Top_Top</v>
      </c>
      <c r="B66" t="s">
        <v>26</v>
      </c>
      <c r="C66" t="s">
        <v>214</v>
      </c>
      <c r="D66" t="s">
        <v>214</v>
      </c>
      <c r="F66" s="9"/>
      <c r="G66" s="9"/>
      <c r="H66" s="9" t="s">
        <v>282</v>
      </c>
      <c r="I66" s="9" t="s">
        <v>282</v>
      </c>
      <c r="J66" s="11" t="s">
        <v>356</v>
      </c>
      <c r="K66" s="11" t="s">
        <v>354</v>
      </c>
      <c r="L66" s="11"/>
      <c r="M66" t="s">
        <v>11</v>
      </c>
      <c r="N66">
        <v>255</v>
      </c>
    </row>
    <row r="67" spans="1:14">
      <c r="A67" s="7" t="str">
        <f t="shared" si="4"/>
        <v>Item_Top_Top</v>
      </c>
      <c r="B67" t="s">
        <v>26</v>
      </c>
      <c r="C67" t="s">
        <v>214</v>
      </c>
      <c r="D67" t="s">
        <v>214</v>
      </c>
      <c r="F67" s="9"/>
      <c r="G67" s="9"/>
      <c r="H67" s="9" t="s">
        <v>283</v>
      </c>
      <c r="I67" s="9" t="s">
        <v>283</v>
      </c>
      <c r="J67" s="11" t="s">
        <v>356</v>
      </c>
      <c r="K67" s="11" t="s">
        <v>354</v>
      </c>
      <c r="L67" s="11"/>
      <c r="M67" t="s">
        <v>11</v>
      </c>
      <c r="N67">
        <v>255</v>
      </c>
    </row>
    <row r="68" spans="1:14">
      <c r="A68" s="7" t="str">
        <f t="shared" si="4"/>
        <v>Item_Top_Top</v>
      </c>
      <c r="B68" t="s">
        <v>26</v>
      </c>
      <c r="C68" t="s">
        <v>214</v>
      </c>
      <c r="D68" t="s">
        <v>214</v>
      </c>
      <c r="F68" s="9"/>
      <c r="G68" s="9"/>
      <c r="H68" s="9" t="s">
        <v>284</v>
      </c>
      <c r="I68" s="9" t="s">
        <v>284</v>
      </c>
      <c r="J68" s="11" t="s">
        <v>356</v>
      </c>
      <c r="K68" s="11" t="s">
        <v>354</v>
      </c>
      <c r="L68" s="11"/>
      <c r="M68" t="s">
        <v>11</v>
      </c>
      <c r="N68">
        <v>255</v>
      </c>
    </row>
    <row r="69" spans="1:14">
      <c r="A69" s="7" t="str">
        <f t="shared" si="4"/>
        <v>Item_Top_Top</v>
      </c>
      <c r="B69" t="s">
        <v>26</v>
      </c>
      <c r="C69" t="s">
        <v>214</v>
      </c>
      <c r="D69" t="s">
        <v>214</v>
      </c>
      <c r="F69" s="9"/>
      <c r="G69" s="9"/>
      <c r="H69" s="9" t="s">
        <v>285</v>
      </c>
      <c r="I69" s="9" t="s">
        <v>285</v>
      </c>
      <c r="J69" s="11" t="s">
        <v>356</v>
      </c>
      <c r="K69" s="11" t="s">
        <v>354</v>
      </c>
      <c r="L69" s="11"/>
      <c r="M69" t="s">
        <v>11</v>
      </c>
      <c r="N69">
        <v>255</v>
      </c>
    </row>
    <row r="70" spans="1:14">
      <c r="A70" s="7" t="str">
        <f t="shared" si="4"/>
        <v>Item_Top_Top</v>
      </c>
      <c r="B70" t="s">
        <v>26</v>
      </c>
      <c r="C70" t="s">
        <v>214</v>
      </c>
      <c r="D70" t="s">
        <v>214</v>
      </c>
      <c r="F70" s="9"/>
      <c r="G70" s="9"/>
      <c r="H70" s="9" t="s">
        <v>286</v>
      </c>
      <c r="I70" s="9" t="s">
        <v>286</v>
      </c>
      <c r="J70" s="11" t="s">
        <v>356</v>
      </c>
      <c r="K70" s="11" t="s">
        <v>354</v>
      </c>
      <c r="L70" s="11"/>
      <c r="M70" t="s">
        <v>11</v>
      </c>
      <c r="N70">
        <v>255</v>
      </c>
    </row>
    <row r="71" spans="1:14">
      <c r="A71" s="7" t="str">
        <f t="shared" si="4"/>
        <v>Item_Top_Top</v>
      </c>
      <c r="B71" t="s">
        <v>26</v>
      </c>
      <c r="C71" t="s">
        <v>214</v>
      </c>
      <c r="D71" t="s">
        <v>214</v>
      </c>
      <c r="F71" s="9"/>
      <c r="G71" s="9"/>
      <c r="H71" s="9" t="s">
        <v>287</v>
      </c>
      <c r="I71" s="9" t="s">
        <v>287</v>
      </c>
      <c r="J71" s="11" t="s">
        <v>356</v>
      </c>
      <c r="K71" s="11" t="s">
        <v>354</v>
      </c>
      <c r="L71" s="11"/>
      <c r="M71" t="s">
        <v>11</v>
      </c>
      <c r="N71">
        <v>255</v>
      </c>
    </row>
    <row r="72" spans="1:14">
      <c r="A72" s="7" t="str">
        <f t="shared" si="4"/>
        <v>Item_Top_Top</v>
      </c>
      <c r="B72" t="s">
        <v>26</v>
      </c>
      <c r="C72" t="s">
        <v>214</v>
      </c>
      <c r="D72" t="s">
        <v>214</v>
      </c>
      <c r="E72" s="9"/>
      <c r="F72" s="9"/>
      <c r="G72" s="9"/>
      <c r="H72" s="9" t="s">
        <v>288</v>
      </c>
      <c r="I72" s="9" t="s">
        <v>288</v>
      </c>
      <c r="J72" s="11" t="s">
        <v>356</v>
      </c>
      <c r="K72" s="11" t="s">
        <v>354</v>
      </c>
      <c r="L72" s="11"/>
      <c r="M72" t="s">
        <v>11</v>
      </c>
      <c r="N72">
        <v>255</v>
      </c>
    </row>
    <row r="73" spans="1:14">
      <c r="A73" s="7" t="str">
        <f t="shared" si="4"/>
        <v>Item_Top_Top</v>
      </c>
      <c r="B73" t="s">
        <v>26</v>
      </c>
      <c r="C73" t="s">
        <v>214</v>
      </c>
      <c r="D73" t="s">
        <v>214</v>
      </c>
      <c r="E73" s="9"/>
      <c r="F73" s="9"/>
      <c r="G73" s="9"/>
      <c r="H73" s="9" t="s">
        <v>289</v>
      </c>
      <c r="I73" s="9" t="s">
        <v>289</v>
      </c>
      <c r="J73" s="11" t="s">
        <v>356</v>
      </c>
      <c r="K73" s="11" t="s">
        <v>354</v>
      </c>
      <c r="L73" s="11"/>
      <c r="M73" t="s">
        <v>11</v>
      </c>
      <c r="N73">
        <v>255</v>
      </c>
    </row>
    <row r="74" spans="1:14">
      <c r="A74" s="7" t="str">
        <f t="shared" si="4"/>
        <v>Item_Top_Top</v>
      </c>
      <c r="B74" t="s">
        <v>26</v>
      </c>
      <c r="C74" t="s">
        <v>214</v>
      </c>
      <c r="D74" t="s">
        <v>214</v>
      </c>
      <c r="E74" s="9"/>
      <c r="F74" s="9"/>
      <c r="G74" s="9"/>
      <c r="H74" s="9" t="s">
        <v>290</v>
      </c>
      <c r="I74" s="9" t="s">
        <v>290</v>
      </c>
      <c r="J74" s="11" t="s">
        <v>356</v>
      </c>
      <c r="K74" s="11" t="s">
        <v>354</v>
      </c>
      <c r="L74" s="11"/>
      <c r="M74" t="s">
        <v>11</v>
      </c>
      <c r="N74">
        <v>255</v>
      </c>
    </row>
    <row r="75" spans="1:14">
      <c r="A75" s="7" t="str">
        <f t="shared" si="4"/>
        <v>Item_Top_Top</v>
      </c>
      <c r="B75" t="s">
        <v>26</v>
      </c>
      <c r="C75" t="s">
        <v>214</v>
      </c>
      <c r="D75" t="s">
        <v>214</v>
      </c>
      <c r="E75" s="9"/>
      <c r="F75" s="9"/>
      <c r="G75" s="9"/>
      <c r="H75" s="9" t="s">
        <v>291</v>
      </c>
      <c r="I75" s="9" t="s">
        <v>291</v>
      </c>
      <c r="J75" s="11" t="s">
        <v>356</v>
      </c>
      <c r="K75" s="11" t="s">
        <v>354</v>
      </c>
      <c r="L75" s="11"/>
      <c r="M75" t="s">
        <v>11</v>
      </c>
      <c r="N75">
        <v>255</v>
      </c>
    </row>
    <row r="76" spans="1:14">
      <c r="A76" s="7" t="str">
        <f>_xlfn.TEXTJOIN("_",TRUE,B76:F76)</f>
        <v>Item_Top_Top</v>
      </c>
      <c r="B76" t="s">
        <v>26</v>
      </c>
      <c r="C76" t="s">
        <v>214</v>
      </c>
      <c r="D76" t="s">
        <v>214</v>
      </c>
      <c r="E76" s="9"/>
      <c r="F76" s="9"/>
      <c r="G76" s="9"/>
      <c r="H76" s="9" t="s">
        <v>292</v>
      </c>
      <c r="I76" s="9" t="s">
        <v>292</v>
      </c>
      <c r="J76" s="11" t="s">
        <v>356</v>
      </c>
      <c r="K76" s="11" t="s">
        <v>354</v>
      </c>
      <c r="L76" s="11"/>
      <c r="M76" t="s">
        <v>11</v>
      </c>
      <c r="N76">
        <v>255</v>
      </c>
    </row>
    <row r="77" spans="1:14">
      <c r="A77" s="7" t="str">
        <f>_xlfn.TEXTJOIN("_",TRUE,B77:F77)</f>
        <v>Item_Top_Top</v>
      </c>
      <c r="B77" t="s">
        <v>26</v>
      </c>
      <c r="C77" t="s">
        <v>214</v>
      </c>
      <c r="D77" t="s">
        <v>214</v>
      </c>
      <c r="E77" s="9"/>
      <c r="F77" s="9"/>
      <c r="G77" s="9"/>
      <c r="H77" s="9" t="s">
        <v>293</v>
      </c>
      <c r="I77" s="9" t="s">
        <v>293</v>
      </c>
      <c r="J77" s="11" t="s">
        <v>356</v>
      </c>
      <c r="K77" s="11" t="s">
        <v>354</v>
      </c>
      <c r="L77" s="11"/>
      <c r="M77" t="s">
        <v>11</v>
      </c>
      <c r="N77">
        <v>255</v>
      </c>
    </row>
    <row r="78" spans="1:14">
      <c r="A78" s="7" t="str">
        <f>_xlfn.TEXTJOIN("_",TRUE,B78:F78)</f>
        <v>Item_Top_Top</v>
      </c>
      <c r="B78" t="s">
        <v>26</v>
      </c>
      <c r="C78" t="s">
        <v>214</v>
      </c>
      <c r="D78" t="s">
        <v>214</v>
      </c>
      <c r="E78" s="9"/>
      <c r="F78" s="9"/>
      <c r="H78" s="9" t="s">
        <v>294</v>
      </c>
      <c r="I78" s="9" t="s">
        <v>294</v>
      </c>
      <c r="J78" s="11" t="s">
        <v>356</v>
      </c>
      <c r="K78" s="11" t="s">
        <v>354</v>
      </c>
      <c r="L78" s="11"/>
      <c r="M78" t="s">
        <v>11</v>
      </c>
      <c r="N78">
        <v>255</v>
      </c>
    </row>
    <row r="79" spans="1:14">
      <c r="A79" s="7" t="str">
        <f>_xlfn.TEXTJOIN("_",TRUE,B79:F79)</f>
        <v>Item_Top_Top</v>
      </c>
      <c r="B79" t="s">
        <v>26</v>
      </c>
      <c r="C79" t="s">
        <v>214</v>
      </c>
      <c r="D79" t="s">
        <v>214</v>
      </c>
      <c r="E79" s="9"/>
      <c r="F79" s="9"/>
      <c r="G79" s="9"/>
      <c r="H79" s="9" t="s">
        <v>295</v>
      </c>
      <c r="I79" s="9" t="s">
        <v>295</v>
      </c>
      <c r="J79" s="11" t="s">
        <v>356</v>
      </c>
      <c r="K79" s="11" t="s">
        <v>354</v>
      </c>
      <c r="L79" s="11"/>
      <c r="M79" t="s">
        <v>11</v>
      </c>
      <c r="N79">
        <v>255</v>
      </c>
    </row>
    <row r="80" spans="1:14">
      <c r="A80" s="7" t="s">
        <v>2</v>
      </c>
      <c r="C80" s="9"/>
      <c r="D80" s="9"/>
      <c r="G80" s="9"/>
      <c r="L80" s="1"/>
    </row>
    <row r="81" spans="1:14">
      <c r="A81" s="7" t="str">
        <f t="shared" ref="A81" si="5">_xlfn.TEXTJOIN("_",TRUE,B81:F81)</f>
        <v>Item_Pants_Pants</v>
      </c>
      <c r="B81" t="s">
        <v>26</v>
      </c>
      <c r="C81" t="s">
        <v>216</v>
      </c>
      <c r="D81" t="s">
        <v>216</v>
      </c>
      <c r="H81" t="s">
        <v>296</v>
      </c>
      <c r="I81" t="s">
        <v>296</v>
      </c>
      <c r="J81" s="11" t="s">
        <v>356</v>
      </c>
      <c r="K81" s="11" t="s">
        <v>354</v>
      </c>
      <c r="L81" s="11"/>
      <c r="M81" t="s">
        <v>11</v>
      </c>
      <c r="N81">
        <v>255</v>
      </c>
    </row>
    <row r="82" spans="1:14">
      <c r="A82" s="7" t="str">
        <f>_xlfn.TEXTJOIN("_",TRUE,B82:F82)</f>
        <v>Item_Pants_Pants</v>
      </c>
      <c r="B82" t="s">
        <v>26</v>
      </c>
      <c r="C82" t="s">
        <v>216</v>
      </c>
      <c r="D82" t="s">
        <v>216</v>
      </c>
      <c r="H82" t="s">
        <v>297</v>
      </c>
      <c r="I82" t="s">
        <v>297</v>
      </c>
      <c r="J82" s="11" t="s">
        <v>356</v>
      </c>
      <c r="K82" s="11" t="s">
        <v>354</v>
      </c>
      <c r="L82" s="11"/>
      <c r="M82" t="s">
        <v>11</v>
      </c>
      <c r="N82">
        <v>255</v>
      </c>
    </row>
    <row r="83" spans="1:14">
      <c r="A83" s="7" t="str">
        <f>_xlfn.TEXTJOIN("_",TRUE,B83:F83)</f>
        <v>Item_Pants_Pants</v>
      </c>
      <c r="B83" t="s">
        <v>26</v>
      </c>
      <c r="C83" t="s">
        <v>216</v>
      </c>
      <c r="D83" t="s">
        <v>216</v>
      </c>
      <c r="H83" t="s">
        <v>298</v>
      </c>
      <c r="I83" t="s">
        <v>298</v>
      </c>
      <c r="J83" s="11" t="s">
        <v>356</v>
      </c>
      <c r="K83" s="11" t="s">
        <v>354</v>
      </c>
      <c r="L83" s="11"/>
      <c r="M83" t="s">
        <v>11</v>
      </c>
      <c r="N83">
        <v>255</v>
      </c>
    </row>
    <row r="84" spans="1:14">
      <c r="A84" s="7" t="str">
        <f>_xlfn.TEXTJOIN("_",TRUE,B84:F84)</f>
        <v>Item_Pants_Pants</v>
      </c>
      <c r="B84" t="s">
        <v>26</v>
      </c>
      <c r="C84" t="s">
        <v>216</v>
      </c>
      <c r="D84" t="s">
        <v>216</v>
      </c>
      <c r="H84" t="s">
        <v>299</v>
      </c>
      <c r="I84" t="s">
        <v>299</v>
      </c>
      <c r="J84" s="11" t="s">
        <v>356</v>
      </c>
      <c r="K84" s="11" t="s">
        <v>354</v>
      </c>
      <c r="L84" s="11"/>
      <c r="M84" t="s">
        <v>11</v>
      </c>
      <c r="N84">
        <v>255</v>
      </c>
    </row>
    <row r="85" spans="1:14">
      <c r="A85" s="7" t="str">
        <f>_xlfn.TEXTJOIN("_",TRUE,B85:F85)</f>
        <v>Item_Pants_Pants</v>
      </c>
      <c r="B85" t="s">
        <v>26</v>
      </c>
      <c r="C85" t="s">
        <v>216</v>
      </c>
      <c r="D85" t="s">
        <v>216</v>
      </c>
      <c r="H85" t="s">
        <v>300</v>
      </c>
      <c r="I85" t="s">
        <v>300</v>
      </c>
      <c r="J85" s="11" t="s">
        <v>356</v>
      </c>
      <c r="K85" s="11" t="s">
        <v>354</v>
      </c>
      <c r="L85" s="11"/>
      <c r="M85" t="s">
        <v>11</v>
      </c>
      <c r="N85">
        <v>255</v>
      </c>
    </row>
    <row r="86" spans="1:14">
      <c r="A86" s="7" t="str">
        <f t="shared" ref="A86" si="6">_xlfn.TEXTJOIN("_",TRUE,B86:F86)</f>
        <v>Item_Pants_Pants</v>
      </c>
      <c r="B86" t="s">
        <v>26</v>
      </c>
      <c r="C86" t="s">
        <v>216</v>
      </c>
      <c r="D86" t="s">
        <v>216</v>
      </c>
      <c r="H86" t="s">
        <v>301</v>
      </c>
      <c r="I86" t="s">
        <v>301</v>
      </c>
      <c r="J86" s="11" t="s">
        <v>356</v>
      </c>
      <c r="K86" s="11" t="s">
        <v>354</v>
      </c>
      <c r="L86" s="11"/>
      <c r="M86" t="s">
        <v>11</v>
      </c>
      <c r="N86">
        <v>255</v>
      </c>
    </row>
    <row r="87" spans="1:14">
      <c r="A87" s="7" t="str">
        <f>_xlfn.TEXTJOIN("_",TRUE,B87:F87)</f>
        <v>Item_Pants_Pants</v>
      </c>
      <c r="B87" t="s">
        <v>26</v>
      </c>
      <c r="C87" t="s">
        <v>216</v>
      </c>
      <c r="D87" t="s">
        <v>216</v>
      </c>
      <c r="H87" t="s">
        <v>302</v>
      </c>
      <c r="I87" t="s">
        <v>302</v>
      </c>
      <c r="J87" s="11" t="s">
        <v>356</v>
      </c>
      <c r="K87" s="11" t="s">
        <v>354</v>
      </c>
      <c r="L87" s="11"/>
      <c r="M87" t="s">
        <v>11</v>
      </c>
      <c r="N87">
        <v>255</v>
      </c>
    </row>
    <row r="88" spans="1:14">
      <c r="A88" s="7" t="str">
        <f>_xlfn.TEXTJOIN("_",TRUE,B88:F88)</f>
        <v>Item_Pants_Pants</v>
      </c>
      <c r="B88" t="s">
        <v>26</v>
      </c>
      <c r="C88" t="s">
        <v>216</v>
      </c>
      <c r="D88" t="s">
        <v>216</v>
      </c>
      <c r="H88" t="s">
        <v>303</v>
      </c>
      <c r="I88" t="s">
        <v>303</v>
      </c>
      <c r="J88" s="11" t="s">
        <v>356</v>
      </c>
      <c r="K88" s="11" t="s">
        <v>354</v>
      </c>
      <c r="L88" s="11"/>
      <c r="M88" t="s">
        <v>11</v>
      </c>
      <c r="N88">
        <v>255</v>
      </c>
    </row>
    <row r="89" spans="1:14">
      <c r="A89" s="7" t="str">
        <f>_xlfn.TEXTJOIN("_",TRUE,B89:F89)</f>
        <v>Item_Pants_Pants</v>
      </c>
      <c r="B89" t="s">
        <v>26</v>
      </c>
      <c r="C89" t="s">
        <v>216</v>
      </c>
      <c r="D89" t="s">
        <v>216</v>
      </c>
      <c r="H89" t="s">
        <v>304</v>
      </c>
      <c r="I89" t="s">
        <v>304</v>
      </c>
      <c r="J89" s="11" t="s">
        <v>356</v>
      </c>
      <c r="K89" s="11" t="s">
        <v>354</v>
      </c>
      <c r="L89" s="11"/>
      <c r="M89" t="s">
        <v>11</v>
      </c>
      <c r="N89">
        <v>255</v>
      </c>
    </row>
    <row r="90" spans="1:14">
      <c r="A90" s="7" t="str">
        <f>_xlfn.TEXTJOIN("_",TRUE,B90:F90)</f>
        <v>Item_Pants_Pants</v>
      </c>
      <c r="B90" t="s">
        <v>26</v>
      </c>
      <c r="C90" t="s">
        <v>216</v>
      </c>
      <c r="D90" t="s">
        <v>216</v>
      </c>
      <c r="H90" t="s">
        <v>305</v>
      </c>
      <c r="I90" t="s">
        <v>305</v>
      </c>
      <c r="J90" s="11" t="s">
        <v>356</v>
      </c>
      <c r="K90" s="11" t="s">
        <v>354</v>
      </c>
      <c r="L90" s="11"/>
      <c r="M90" t="s">
        <v>11</v>
      </c>
      <c r="N90">
        <v>255</v>
      </c>
    </row>
    <row r="91" spans="1:14">
      <c r="A91" s="7" t="str">
        <f t="shared" ref="A91" si="7">_xlfn.TEXTJOIN("_",TRUE,B91:F91)</f>
        <v>Item_Pants_Pants</v>
      </c>
      <c r="B91" t="s">
        <v>26</v>
      </c>
      <c r="C91" t="s">
        <v>216</v>
      </c>
      <c r="D91" t="s">
        <v>216</v>
      </c>
      <c r="H91" t="s">
        <v>306</v>
      </c>
      <c r="I91" t="s">
        <v>306</v>
      </c>
      <c r="J91" s="11" t="s">
        <v>356</v>
      </c>
      <c r="K91" s="11" t="s">
        <v>354</v>
      </c>
      <c r="L91" s="11"/>
      <c r="M91" t="s">
        <v>11</v>
      </c>
      <c r="N91">
        <v>255</v>
      </c>
    </row>
    <row r="92" spans="1:14">
      <c r="A92" s="7" t="str">
        <f>_xlfn.TEXTJOIN("_",TRUE,B92:F92)</f>
        <v>Item_Pants_Pants</v>
      </c>
      <c r="B92" t="s">
        <v>26</v>
      </c>
      <c r="C92" t="s">
        <v>216</v>
      </c>
      <c r="D92" t="s">
        <v>216</v>
      </c>
      <c r="H92" t="s">
        <v>307</v>
      </c>
      <c r="I92" t="s">
        <v>307</v>
      </c>
      <c r="J92" s="11" t="s">
        <v>356</v>
      </c>
      <c r="K92" s="11" t="s">
        <v>354</v>
      </c>
      <c r="L92" s="11"/>
      <c r="M92" t="s">
        <v>11</v>
      </c>
      <c r="N92">
        <v>255</v>
      </c>
    </row>
    <row r="93" spans="1:14">
      <c r="A93" s="7" t="str">
        <f>_xlfn.TEXTJOIN("_",TRUE,B93:F93)</f>
        <v>Item_Pants_Pants</v>
      </c>
      <c r="B93" t="s">
        <v>26</v>
      </c>
      <c r="C93" t="s">
        <v>216</v>
      </c>
      <c r="D93" t="s">
        <v>216</v>
      </c>
      <c r="H93" t="s">
        <v>308</v>
      </c>
      <c r="I93" t="s">
        <v>308</v>
      </c>
      <c r="J93" s="11" t="s">
        <v>356</v>
      </c>
      <c r="K93" s="11" t="s">
        <v>354</v>
      </c>
      <c r="L93" s="11"/>
      <c r="M93" t="s">
        <v>11</v>
      </c>
      <c r="N93">
        <v>255</v>
      </c>
    </row>
    <row r="94" spans="1:14">
      <c r="A94" s="7" t="str">
        <f>_xlfn.TEXTJOIN("_",TRUE,B94:F94)</f>
        <v>Item_Pants_Pants</v>
      </c>
      <c r="B94" t="s">
        <v>26</v>
      </c>
      <c r="C94" t="s">
        <v>216</v>
      </c>
      <c r="D94" t="s">
        <v>216</v>
      </c>
      <c r="H94" t="s">
        <v>309</v>
      </c>
      <c r="I94" t="s">
        <v>309</v>
      </c>
      <c r="J94" s="11" t="s">
        <v>356</v>
      </c>
      <c r="K94" s="11" t="s">
        <v>354</v>
      </c>
      <c r="L94" s="11"/>
      <c r="M94" t="s">
        <v>11</v>
      </c>
      <c r="N94">
        <v>255</v>
      </c>
    </row>
    <row r="95" spans="1:14">
      <c r="A95" s="7" t="str">
        <f>_xlfn.TEXTJOIN("_",TRUE,B95:F95)</f>
        <v>Item_Pants_Pants</v>
      </c>
      <c r="B95" t="s">
        <v>26</v>
      </c>
      <c r="C95" t="s">
        <v>216</v>
      </c>
      <c r="D95" t="s">
        <v>216</v>
      </c>
      <c r="H95" t="s">
        <v>310</v>
      </c>
      <c r="I95" t="s">
        <v>310</v>
      </c>
      <c r="J95" s="11" t="s">
        <v>356</v>
      </c>
      <c r="K95" s="11" t="s">
        <v>354</v>
      </c>
      <c r="L95" s="11"/>
      <c r="M95" t="s">
        <v>11</v>
      </c>
      <c r="N95">
        <v>255</v>
      </c>
    </row>
    <row r="96" spans="1:14">
      <c r="A96" s="7" t="str">
        <f t="shared" ref="A96" si="8">_xlfn.TEXTJOIN("_",TRUE,B96:F96)</f>
        <v>Item_Pants_Pants</v>
      </c>
      <c r="B96" t="s">
        <v>26</v>
      </c>
      <c r="C96" t="s">
        <v>216</v>
      </c>
      <c r="D96" t="s">
        <v>216</v>
      </c>
      <c r="H96" t="s">
        <v>311</v>
      </c>
      <c r="I96" t="s">
        <v>311</v>
      </c>
      <c r="J96" s="11" t="s">
        <v>356</v>
      </c>
      <c r="K96" s="11" t="s">
        <v>354</v>
      </c>
      <c r="L96" s="11"/>
      <c r="M96" t="s">
        <v>11</v>
      </c>
      <c r="N96">
        <v>255</v>
      </c>
    </row>
    <row r="97" spans="1:14">
      <c r="A97" s="7" t="str">
        <f>_xlfn.TEXTJOIN("_",TRUE,B97:F97)</f>
        <v>Item_Pants_Pants</v>
      </c>
      <c r="B97" t="s">
        <v>26</v>
      </c>
      <c r="C97" t="s">
        <v>216</v>
      </c>
      <c r="D97" t="s">
        <v>216</v>
      </c>
      <c r="H97" t="s">
        <v>312</v>
      </c>
      <c r="I97" t="s">
        <v>312</v>
      </c>
      <c r="J97" s="11" t="s">
        <v>356</v>
      </c>
      <c r="K97" s="11" t="s">
        <v>354</v>
      </c>
      <c r="L97" s="11"/>
      <c r="M97" t="s">
        <v>11</v>
      </c>
      <c r="N97">
        <v>255</v>
      </c>
    </row>
    <row r="98" spans="1:14">
      <c r="A98" s="7" t="str">
        <f>_xlfn.TEXTJOIN("_",TRUE,B98:F98)</f>
        <v>Item_Pants_Pants</v>
      </c>
      <c r="B98" t="s">
        <v>26</v>
      </c>
      <c r="C98" t="s">
        <v>216</v>
      </c>
      <c r="D98" t="s">
        <v>216</v>
      </c>
      <c r="H98" t="s">
        <v>313</v>
      </c>
      <c r="I98" t="s">
        <v>313</v>
      </c>
      <c r="J98" s="11" t="s">
        <v>356</v>
      </c>
      <c r="K98" s="11" t="s">
        <v>354</v>
      </c>
      <c r="L98" s="11"/>
      <c r="M98" t="s">
        <v>11</v>
      </c>
      <c r="N98">
        <v>255</v>
      </c>
    </row>
    <row r="99" spans="1:14">
      <c r="A99" s="7" t="str">
        <f>_xlfn.TEXTJOIN("_",TRUE,B99:F99)</f>
        <v>Item_Pants_Pants</v>
      </c>
      <c r="B99" t="s">
        <v>26</v>
      </c>
      <c r="C99" t="s">
        <v>216</v>
      </c>
      <c r="D99" t="s">
        <v>216</v>
      </c>
      <c r="H99" t="s">
        <v>314</v>
      </c>
      <c r="I99" t="s">
        <v>314</v>
      </c>
      <c r="J99" s="11" t="s">
        <v>356</v>
      </c>
      <c r="K99" s="11" t="s">
        <v>354</v>
      </c>
      <c r="L99" s="11"/>
      <c r="M99" t="s">
        <v>11</v>
      </c>
      <c r="N99">
        <v>255</v>
      </c>
    </row>
    <row r="100" spans="1:14">
      <c r="A100" s="7" t="str">
        <f>_xlfn.TEXTJOIN("_",TRUE,B100:F100)</f>
        <v>Item_Pants_Pants</v>
      </c>
      <c r="B100" t="s">
        <v>26</v>
      </c>
      <c r="C100" t="s">
        <v>216</v>
      </c>
      <c r="D100" t="s">
        <v>216</v>
      </c>
      <c r="H100" t="s">
        <v>315</v>
      </c>
      <c r="I100" t="s">
        <v>315</v>
      </c>
      <c r="J100" s="11" t="s">
        <v>356</v>
      </c>
      <c r="K100" s="11" t="s">
        <v>354</v>
      </c>
      <c r="L100" s="11"/>
      <c r="M100" t="s">
        <v>11</v>
      </c>
      <c r="N100">
        <v>255</v>
      </c>
    </row>
    <row r="101" spans="1:14">
      <c r="A101" s="7" t="str">
        <f>_xlfn.TEXTJOIN("_",TRUE,B101:F101)</f>
        <v>Item_Pants_Pants</v>
      </c>
      <c r="B101" t="s">
        <v>26</v>
      </c>
      <c r="C101" t="s">
        <v>216</v>
      </c>
      <c r="D101" t="s">
        <v>216</v>
      </c>
      <c r="H101" t="s">
        <v>316</v>
      </c>
      <c r="I101" t="s">
        <v>316</v>
      </c>
      <c r="J101" s="11" t="s">
        <v>356</v>
      </c>
      <c r="K101" s="11" t="s">
        <v>354</v>
      </c>
      <c r="L101" s="11"/>
      <c r="M101" t="s">
        <v>11</v>
      </c>
      <c r="N101">
        <v>255</v>
      </c>
    </row>
    <row r="102" spans="1:14">
      <c r="A102" s="7" t="s">
        <v>2</v>
      </c>
    </row>
    <row r="103" spans="1:14">
      <c r="A103" s="7" t="str">
        <f>_xlfn.TEXTJOIN("_",TRUE,B103:F103)</f>
        <v>Item_Cape_Cape</v>
      </c>
      <c r="B103" t="s">
        <v>26</v>
      </c>
      <c r="C103" t="s">
        <v>218</v>
      </c>
      <c r="D103" t="s">
        <v>218</v>
      </c>
      <c r="H103" t="s">
        <v>317</v>
      </c>
      <c r="I103" t="s">
        <v>317</v>
      </c>
      <c r="J103" s="11" t="s">
        <v>356</v>
      </c>
      <c r="K103" s="11" t="s">
        <v>354</v>
      </c>
      <c r="L103" s="11"/>
      <c r="M103" t="s">
        <v>11</v>
      </c>
      <c r="N103">
        <v>255</v>
      </c>
    </row>
    <row r="104" spans="1:14">
      <c r="A104" s="7" t="str">
        <f t="shared" ref="A104:A108" si="9">_xlfn.TEXTJOIN("_",TRUE,B104:F104)</f>
        <v>Item_Cape_Cape</v>
      </c>
      <c r="B104" t="s">
        <v>26</v>
      </c>
      <c r="C104" t="s">
        <v>218</v>
      </c>
      <c r="D104" t="s">
        <v>218</v>
      </c>
      <c r="H104" t="s">
        <v>318</v>
      </c>
      <c r="I104" t="s">
        <v>318</v>
      </c>
      <c r="J104" s="11" t="s">
        <v>356</v>
      </c>
      <c r="K104" s="11" t="s">
        <v>354</v>
      </c>
      <c r="L104" s="11"/>
      <c r="M104" t="s">
        <v>11</v>
      </c>
      <c r="N104">
        <v>255</v>
      </c>
    </row>
    <row r="105" spans="1:14">
      <c r="A105" s="7" t="str">
        <f t="shared" si="9"/>
        <v>Item_Cape_Cape</v>
      </c>
      <c r="B105" t="s">
        <v>26</v>
      </c>
      <c r="C105" t="s">
        <v>218</v>
      </c>
      <c r="D105" t="s">
        <v>218</v>
      </c>
      <c r="H105" t="s">
        <v>319</v>
      </c>
      <c r="I105" t="s">
        <v>319</v>
      </c>
      <c r="J105" s="11" t="s">
        <v>356</v>
      </c>
      <c r="K105" s="11" t="s">
        <v>354</v>
      </c>
      <c r="L105" s="11"/>
      <c r="M105" t="s">
        <v>11</v>
      </c>
      <c r="N105">
        <v>255</v>
      </c>
    </row>
    <row r="106" spans="1:14">
      <c r="A106" s="7" t="str">
        <f t="shared" si="9"/>
        <v>Item_Cape_Cape</v>
      </c>
      <c r="B106" t="s">
        <v>26</v>
      </c>
      <c r="C106" t="s">
        <v>218</v>
      </c>
      <c r="D106" t="s">
        <v>218</v>
      </c>
      <c r="H106" t="s">
        <v>320</v>
      </c>
      <c r="I106" t="s">
        <v>320</v>
      </c>
      <c r="J106" s="11" t="s">
        <v>356</v>
      </c>
      <c r="K106" s="11" t="s">
        <v>354</v>
      </c>
      <c r="L106" s="11"/>
      <c r="M106" t="s">
        <v>11</v>
      </c>
      <c r="N106">
        <v>255</v>
      </c>
    </row>
    <row r="107" spans="1:14">
      <c r="A107" s="7" t="str">
        <f t="shared" si="9"/>
        <v>Item_Cape_Cape</v>
      </c>
      <c r="B107" t="s">
        <v>26</v>
      </c>
      <c r="C107" t="s">
        <v>218</v>
      </c>
      <c r="D107" t="s">
        <v>218</v>
      </c>
      <c r="H107" t="s">
        <v>321</v>
      </c>
      <c r="I107" t="s">
        <v>321</v>
      </c>
      <c r="J107" s="11" t="s">
        <v>356</v>
      </c>
      <c r="K107" s="11" t="s">
        <v>354</v>
      </c>
      <c r="L107" s="11"/>
      <c r="M107" t="s">
        <v>11</v>
      </c>
      <c r="N107">
        <v>255</v>
      </c>
    </row>
    <row r="108" spans="1:14">
      <c r="A108" s="7" t="str">
        <f t="shared" si="9"/>
        <v>Item_Cape_Cape</v>
      </c>
      <c r="B108" t="s">
        <v>26</v>
      </c>
      <c r="C108" t="s">
        <v>218</v>
      </c>
      <c r="D108" t="s">
        <v>218</v>
      </c>
      <c r="H108" t="s">
        <v>322</v>
      </c>
      <c r="I108" t="s">
        <v>322</v>
      </c>
      <c r="J108" s="11" t="s">
        <v>356</v>
      </c>
      <c r="K108" s="11" t="s">
        <v>354</v>
      </c>
      <c r="L108" s="11"/>
      <c r="M108" t="s">
        <v>11</v>
      </c>
      <c r="N108">
        <v>255</v>
      </c>
    </row>
    <row r="109" spans="1:14">
      <c r="A109" s="7" t="s">
        <v>2</v>
      </c>
    </row>
    <row r="110" spans="1:14">
      <c r="A110" s="7" t="str">
        <f t="shared" ref="A110" si="10">_xlfn.TEXTJOIN("_",TRUE,B110:F110)</f>
        <v>Item_FaceAcc_FaceAcc</v>
      </c>
      <c r="B110" t="s">
        <v>26</v>
      </c>
      <c r="C110" t="s">
        <v>219</v>
      </c>
      <c r="D110" t="s">
        <v>219</v>
      </c>
      <c r="H110" t="s">
        <v>323</v>
      </c>
      <c r="I110" t="s">
        <v>323</v>
      </c>
      <c r="J110" s="11" t="s">
        <v>356</v>
      </c>
      <c r="K110" s="11" t="s">
        <v>354</v>
      </c>
      <c r="L110" s="11"/>
      <c r="M110" t="s">
        <v>11</v>
      </c>
      <c r="N110">
        <v>255</v>
      </c>
    </row>
    <row r="111" spans="1:14">
      <c r="A111" s="7" t="str">
        <f t="shared" ref="A111:A116" si="11">_xlfn.TEXTJOIN("_",TRUE,B111:F111)</f>
        <v>Item_FaceAcc_FaceAcc</v>
      </c>
      <c r="B111" t="s">
        <v>26</v>
      </c>
      <c r="C111" t="s">
        <v>219</v>
      </c>
      <c r="D111" t="s">
        <v>219</v>
      </c>
      <c r="H111" t="s">
        <v>324</v>
      </c>
      <c r="I111" t="s">
        <v>324</v>
      </c>
      <c r="J111" s="11" t="s">
        <v>356</v>
      </c>
      <c r="K111" s="11" t="s">
        <v>354</v>
      </c>
      <c r="L111" s="11"/>
      <c r="M111" t="s">
        <v>11</v>
      </c>
      <c r="N111">
        <v>255</v>
      </c>
    </row>
    <row r="112" spans="1:14">
      <c r="A112" s="7" t="str">
        <f t="shared" si="11"/>
        <v>Item_FaceAcc_FaceAcc</v>
      </c>
      <c r="B112" t="s">
        <v>26</v>
      </c>
      <c r="C112" t="s">
        <v>219</v>
      </c>
      <c r="D112" t="s">
        <v>219</v>
      </c>
      <c r="H112" t="s">
        <v>325</v>
      </c>
      <c r="I112" t="s">
        <v>325</v>
      </c>
      <c r="J112" s="11" t="s">
        <v>356</v>
      </c>
      <c r="K112" s="11" t="s">
        <v>354</v>
      </c>
      <c r="L112" s="11"/>
      <c r="M112" t="s">
        <v>11</v>
      </c>
      <c r="N112">
        <v>255</v>
      </c>
    </row>
    <row r="113" spans="1:14">
      <c r="A113" s="7" t="str">
        <f t="shared" si="11"/>
        <v>Item_FaceAcc_FaceAcc</v>
      </c>
      <c r="B113" t="s">
        <v>26</v>
      </c>
      <c r="C113" t="s">
        <v>219</v>
      </c>
      <c r="D113" t="s">
        <v>219</v>
      </c>
      <c r="H113" t="s">
        <v>326</v>
      </c>
      <c r="I113" t="s">
        <v>326</v>
      </c>
      <c r="J113" s="11" t="s">
        <v>356</v>
      </c>
      <c r="K113" s="11" t="s">
        <v>354</v>
      </c>
      <c r="L113" s="11"/>
      <c r="M113" t="s">
        <v>11</v>
      </c>
      <c r="N113">
        <v>255</v>
      </c>
    </row>
    <row r="114" spans="1:14">
      <c r="A114" s="7" t="str">
        <f t="shared" si="11"/>
        <v>Item_FaceAcc_FaceAcc</v>
      </c>
      <c r="B114" t="s">
        <v>26</v>
      </c>
      <c r="C114" t="s">
        <v>219</v>
      </c>
      <c r="D114" t="s">
        <v>219</v>
      </c>
      <c r="H114" t="s">
        <v>327</v>
      </c>
      <c r="I114" t="s">
        <v>327</v>
      </c>
      <c r="J114" s="11" t="s">
        <v>356</v>
      </c>
      <c r="K114" s="11" t="s">
        <v>354</v>
      </c>
      <c r="L114" s="11"/>
      <c r="M114" t="s">
        <v>11</v>
      </c>
      <c r="N114">
        <v>255</v>
      </c>
    </row>
    <row r="115" spans="1:14">
      <c r="A115" s="7" t="str">
        <f t="shared" si="11"/>
        <v>Item_FaceAcc_FaceAcc</v>
      </c>
      <c r="B115" t="s">
        <v>26</v>
      </c>
      <c r="C115" t="s">
        <v>219</v>
      </c>
      <c r="D115" t="s">
        <v>219</v>
      </c>
      <c r="H115" t="s">
        <v>328</v>
      </c>
      <c r="I115" t="s">
        <v>328</v>
      </c>
      <c r="J115" s="11" t="s">
        <v>356</v>
      </c>
      <c r="K115" s="11" t="s">
        <v>354</v>
      </c>
      <c r="L115" s="11"/>
      <c r="M115" t="s">
        <v>11</v>
      </c>
      <c r="N115">
        <v>255</v>
      </c>
    </row>
    <row r="116" spans="1:14">
      <c r="A116" s="7" t="str">
        <f t="shared" si="11"/>
        <v>Item_FaceAcc_FaceAcc</v>
      </c>
      <c r="B116" t="s">
        <v>26</v>
      </c>
      <c r="C116" t="s">
        <v>219</v>
      </c>
      <c r="D116" t="s">
        <v>219</v>
      </c>
      <c r="H116" t="s">
        <v>329</v>
      </c>
      <c r="I116" t="s">
        <v>329</v>
      </c>
      <c r="J116" s="11" t="s">
        <v>356</v>
      </c>
      <c r="K116" s="11" t="s">
        <v>354</v>
      </c>
      <c r="L116" s="11"/>
      <c r="M116" t="s">
        <v>11</v>
      </c>
      <c r="N116">
        <v>255</v>
      </c>
    </row>
    <row r="117" spans="1:14">
      <c r="A117" s="7" t="s">
        <v>2</v>
      </c>
    </row>
    <row r="118" spans="1:14">
      <c r="A118" s="7" t="str">
        <f t="shared" ref="A118:A122" si="12">_xlfn.TEXTJOIN("_",TRUE,B118:F118)</f>
        <v>Item_HairAcc_Hat</v>
      </c>
      <c r="B118" t="s">
        <v>26</v>
      </c>
      <c r="C118" t="s">
        <v>220</v>
      </c>
      <c r="D118" t="s">
        <v>215</v>
      </c>
      <c r="H118" t="s">
        <v>330</v>
      </c>
      <c r="I118" t="s">
        <v>330</v>
      </c>
      <c r="J118" s="11" t="s">
        <v>356</v>
      </c>
      <c r="K118" s="11" t="s">
        <v>354</v>
      </c>
      <c r="L118" s="11"/>
      <c r="M118" t="s">
        <v>11</v>
      </c>
      <c r="N118">
        <v>255</v>
      </c>
    </row>
    <row r="119" spans="1:14">
      <c r="A119" s="7" t="str">
        <f t="shared" si="12"/>
        <v>Item_HairAcc_Hat</v>
      </c>
      <c r="B119" t="s">
        <v>26</v>
      </c>
      <c r="C119" t="s">
        <v>220</v>
      </c>
      <c r="D119" t="s">
        <v>215</v>
      </c>
      <c r="H119" t="s">
        <v>331</v>
      </c>
      <c r="I119" t="s">
        <v>331</v>
      </c>
      <c r="J119" s="11" t="s">
        <v>356</v>
      </c>
      <c r="K119" s="11" t="s">
        <v>354</v>
      </c>
      <c r="L119" s="11"/>
      <c r="M119" t="s">
        <v>11</v>
      </c>
      <c r="N119">
        <v>255</v>
      </c>
    </row>
    <row r="120" spans="1:14">
      <c r="A120" s="7" t="str">
        <f t="shared" si="12"/>
        <v>Item_HairAcc_Hat</v>
      </c>
      <c r="B120" t="s">
        <v>26</v>
      </c>
      <c r="C120" t="s">
        <v>220</v>
      </c>
      <c r="D120" t="s">
        <v>215</v>
      </c>
      <c r="H120" t="s">
        <v>332</v>
      </c>
      <c r="I120" t="s">
        <v>332</v>
      </c>
      <c r="J120" s="11" t="s">
        <v>356</v>
      </c>
      <c r="K120" s="11" t="s">
        <v>354</v>
      </c>
      <c r="L120" s="11"/>
      <c r="M120" t="s">
        <v>11</v>
      </c>
      <c r="N120">
        <v>255</v>
      </c>
    </row>
    <row r="121" spans="1:14">
      <c r="A121" s="7" t="str">
        <f t="shared" si="12"/>
        <v>Item_HairAcc_Hat</v>
      </c>
      <c r="B121" t="s">
        <v>26</v>
      </c>
      <c r="C121" t="s">
        <v>220</v>
      </c>
      <c r="D121" t="s">
        <v>215</v>
      </c>
      <c r="H121" t="s">
        <v>333</v>
      </c>
      <c r="I121" t="s">
        <v>333</v>
      </c>
      <c r="J121" s="11" t="s">
        <v>356</v>
      </c>
      <c r="K121" s="11" t="s">
        <v>354</v>
      </c>
      <c r="L121" s="11"/>
      <c r="M121" t="s">
        <v>11</v>
      </c>
      <c r="N121">
        <v>255</v>
      </c>
    </row>
    <row r="122" spans="1:14">
      <c r="A122" s="7" t="str">
        <f t="shared" si="12"/>
        <v>Item_HairAcc_Hat</v>
      </c>
      <c r="B122" t="s">
        <v>26</v>
      </c>
      <c r="C122" t="s">
        <v>220</v>
      </c>
      <c r="D122" t="s">
        <v>215</v>
      </c>
      <c r="H122" t="s">
        <v>334</v>
      </c>
      <c r="I122" t="s">
        <v>334</v>
      </c>
      <c r="J122" s="11" t="s">
        <v>356</v>
      </c>
      <c r="K122" s="11" t="s">
        <v>354</v>
      </c>
      <c r="L122" s="11"/>
      <c r="M122" t="s">
        <v>11</v>
      </c>
      <c r="N122">
        <v>255</v>
      </c>
    </row>
    <row r="123" spans="1:14">
      <c r="A123" s="7" t="str">
        <f t="shared" ref="A123:A142" si="13">_xlfn.TEXTJOIN("_",TRUE,B123:F123)</f>
        <v>Item_HairAcc_Hat</v>
      </c>
      <c r="B123" t="s">
        <v>26</v>
      </c>
      <c r="C123" t="s">
        <v>220</v>
      </c>
      <c r="D123" t="s">
        <v>215</v>
      </c>
      <c r="H123" t="s">
        <v>335</v>
      </c>
      <c r="I123" t="s">
        <v>335</v>
      </c>
      <c r="J123" s="11" t="s">
        <v>356</v>
      </c>
      <c r="K123" s="11" t="s">
        <v>354</v>
      </c>
      <c r="L123" s="11"/>
      <c r="M123" t="s">
        <v>11</v>
      </c>
      <c r="N123">
        <v>255</v>
      </c>
    </row>
    <row r="124" spans="1:14">
      <c r="A124" s="7" t="str">
        <f t="shared" si="13"/>
        <v>Item_HairAcc_Hat</v>
      </c>
      <c r="B124" t="s">
        <v>26</v>
      </c>
      <c r="C124" t="s">
        <v>220</v>
      </c>
      <c r="D124" t="s">
        <v>215</v>
      </c>
      <c r="H124" t="s">
        <v>336</v>
      </c>
      <c r="I124" t="s">
        <v>336</v>
      </c>
      <c r="J124" s="11" t="s">
        <v>356</v>
      </c>
      <c r="K124" s="11" t="s">
        <v>354</v>
      </c>
      <c r="L124" s="11"/>
      <c r="M124" t="s">
        <v>11</v>
      </c>
      <c r="N124">
        <v>255</v>
      </c>
    </row>
    <row r="125" spans="1:14">
      <c r="A125" s="7" t="str">
        <f t="shared" si="13"/>
        <v>Item_HairAcc_Hat</v>
      </c>
      <c r="B125" t="s">
        <v>26</v>
      </c>
      <c r="C125" t="s">
        <v>220</v>
      </c>
      <c r="D125" t="s">
        <v>215</v>
      </c>
      <c r="H125" t="s">
        <v>337</v>
      </c>
      <c r="I125" t="s">
        <v>337</v>
      </c>
      <c r="J125" s="11" t="s">
        <v>356</v>
      </c>
      <c r="K125" s="11" t="s">
        <v>354</v>
      </c>
      <c r="L125" s="11"/>
      <c r="M125" t="s">
        <v>11</v>
      </c>
      <c r="N125">
        <v>255</v>
      </c>
    </row>
    <row r="126" spans="1:14">
      <c r="A126" s="7" t="str">
        <f t="shared" si="13"/>
        <v>Item_HairAcc_Hat</v>
      </c>
      <c r="B126" t="s">
        <v>26</v>
      </c>
      <c r="C126" t="s">
        <v>220</v>
      </c>
      <c r="D126" t="s">
        <v>215</v>
      </c>
      <c r="H126" t="s">
        <v>338</v>
      </c>
      <c r="I126" t="s">
        <v>338</v>
      </c>
      <c r="J126" s="11" t="s">
        <v>356</v>
      </c>
      <c r="K126" s="11" t="s">
        <v>354</v>
      </c>
      <c r="L126" s="11"/>
      <c r="M126" t="s">
        <v>11</v>
      </c>
      <c r="N126">
        <v>255</v>
      </c>
    </row>
    <row r="127" spans="1:14">
      <c r="A127" s="7" t="str">
        <f t="shared" si="13"/>
        <v>Item_HairAcc_Hat</v>
      </c>
      <c r="B127" t="s">
        <v>26</v>
      </c>
      <c r="C127" t="s">
        <v>220</v>
      </c>
      <c r="D127" t="s">
        <v>215</v>
      </c>
      <c r="H127" t="s">
        <v>339</v>
      </c>
      <c r="I127" t="s">
        <v>339</v>
      </c>
      <c r="J127" s="11" t="s">
        <v>356</v>
      </c>
      <c r="K127" s="11" t="s">
        <v>354</v>
      </c>
      <c r="L127" s="11"/>
      <c r="M127" t="s">
        <v>11</v>
      </c>
      <c r="N127">
        <v>255</v>
      </c>
    </row>
    <row r="128" spans="1:14">
      <c r="A128" s="7" t="str">
        <f t="shared" si="13"/>
        <v>Item_HairAcc_Hat</v>
      </c>
      <c r="B128" t="s">
        <v>26</v>
      </c>
      <c r="C128" t="s">
        <v>220</v>
      </c>
      <c r="D128" t="s">
        <v>215</v>
      </c>
      <c r="H128" t="s">
        <v>340</v>
      </c>
      <c r="I128" t="s">
        <v>340</v>
      </c>
      <c r="J128" s="11" t="s">
        <v>356</v>
      </c>
      <c r="K128" s="11" t="s">
        <v>354</v>
      </c>
      <c r="L128" s="11"/>
      <c r="M128" t="s">
        <v>11</v>
      </c>
      <c r="N128">
        <v>255</v>
      </c>
    </row>
    <row r="129" spans="1:14">
      <c r="A129" s="7" t="str">
        <f t="shared" si="13"/>
        <v>Item_HairAcc_Hat</v>
      </c>
      <c r="B129" t="s">
        <v>26</v>
      </c>
      <c r="C129" t="s">
        <v>220</v>
      </c>
      <c r="D129" t="s">
        <v>215</v>
      </c>
      <c r="H129" t="s">
        <v>341</v>
      </c>
      <c r="I129" t="s">
        <v>341</v>
      </c>
      <c r="J129" s="11" t="s">
        <v>356</v>
      </c>
      <c r="K129" s="11" t="s">
        <v>354</v>
      </c>
      <c r="L129" s="11"/>
      <c r="M129" t="s">
        <v>11</v>
      </c>
      <c r="N129">
        <v>255</v>
      </c>
    </row>
    <row r="130" spans="1:14">
      <c r="A130" s="7" t="str">
        <f t="shared" si="13"/>
        <v>Item_HairAcc_Hat</v>
      </c>
      <c r="B130" t="s">
        <v>26</v>
      </c>
      <c r="C130" t="s">
        <v>220</v>
      </c>
      <c r="D130" t="s">
        <v>215</v>
      </c>
      <c r="H130" t="s">
        <v>342</v>
      </c>
      <c r="I130" t="s">
        <v>342</v>
      </c>
      <c r="J130" s="11" t="s">
        <v>356</v>
      </c>
      <c r="K130" s="11" t="s">
        <v>354</v>
      </c>
      <c r="L130" s="11"/>
      <c r="M130" t="s">
        <v>11</v>
      </c>
      <c r="N130">
        <v>255</v>
      </c>
    </row>
    <row r="131" spans="1:14">
      <c r="A131" s="7" t="str">
        <f t="shared" si="13"/>
        <v>Item_HairAcc_Hat</v>
      </c>
      <c r="B131" t="s">
        <v>26</v>
      </c>
      <c r="C131" t="s">
        <v>220</v>
      </c>
      <c r="D131" t="s">
        <v>215</v>
      </c>
      <c r="H131" t="s">
        <v>343</v>
      </c>
      <c r="I131" t="s">
        <v>343</v>
      </c>
      <c r="J131" s="11" t="s">
        <v>356</v>
      </c>
      <c r="K131" s="11" t="s">
        <v>354</v>
      </c>
      <c r="L131" s="11"/>
      <c r="M131" t="s">
        <v>11</v>
      </c>
      <c r="N131">
        <v>255</v>
      </c>
    </row>
    <row r="132" spans="1:14">
      <c r="A132" s="7" t="str">
        <f t="shared" si="13"/>
        <v>Item_HairAcc_Hat</v>
      </c>
      <c r="B132" t="s">
        <v>26</v>
      </c>
      <c r="C132" t="s">
        <v>220</v>
      </c>
      <c r="D132" t="s">
        <v>215</v>
      </c>
      <c r="H132" t="s">
        <v>344</v>
      </c>
      <c r="I132" t="s">
        <v>344</v>
      </c>
      <c r="J132" s="11" t="s">
        <v>356</v>
      </c>
      <c r="K132" s="11" t="s">
        <v>354</v>
      </c>
      <c r="L132" s="11"/>
      <c r="M132" t="s">
        <v>11</v>
      </c>
      <c r="N132">
        <v>255</v>
      </c>
    </row>
    <row r="133" spans="1:14">
      <c r="A133" s="7" t="str">
        <f t="shared" si="13"/>
        <v>Item_HairAcc_Hat</v>
      </c>
      <c r="B133" t="s">
        <v>26</v>
      </c>
      <c r="C133" t="s">
        <v>220</v>
      </c>
      <c r="D133" t="s">
        <v>215</v>
      </c>
      <c r="H133" t="s">
        <v>345</v>
      </c>
      <c r="I133" t="s">
        <v>345</v>
      </c>
      <c r="J133" s="11" t="s">
        <v>356</v>
      </c>
      <c r="K133" s="11" t="s">
        <v>354</v>
      </c>
      <c r="L133" s="11"/>
      <c r="M133" t="s">
        <v>11</v>
      </c>
      <c r="N133">
        <v>255</v>
      </c>
    </row>
    <row r="134" spans="1:14">
      <c r="A134" s="7" t="str">
        <f t="shared" si="13"/>
        <v>Item_HairAcc_Hat</v>
      </c>
      <c r="B134" t="s">
        <v>26</v>
      </c>
      <c r="C134" t="s">
        <v>220</v>
      </c>
      <c r="D134" t="s">
        <v>215</v>
      </c>
      <c r="H134" t="s">
        <v>346</v>
      </c>
      <c r="I134" t="s">
        <v>346</v>
      </c>
      <c r="J134" s="11" t="s">
        <v>356</v>
      </c>
      <c r="K134" s="11" t="s">
        <v>354</v>
      </c>
      <c r="L134" s="11"/>
      <c r="M134" t="s">
        <v>11</v>
      </c>
      <c r="N134">
        <v>255</v>
      </c>
    </row>
    <row r="135" spans="1:14">
      <c r="A135" s="7" t="str">
        <f t="shared" si="13"/>
        <v>Item_HairAcc_Hat</v>
      </c>
      <c r="B135" t="s">
        <v>26</v>
      </c>
      <c r="C135" t="s">
        <v>220</v>
      </c>
      <c r="D135" t="s">
        <v>215</v>
      </c>
      <c r="H135" t="s">
        <v>347</v>
      </c>
      <c r="I135" t="s">
        <v>347</v>
      </c>
      <c r="J135" s="11" t="s">
        <v>356</v>
      </c>
      <c r="K135" s="11" t="s">
        <v>354</v>
      </c>
      <c r="L135" s="11"/>
      <c r="M135" t="s">
        <v>11</v>
      </c>
      <c r="N135">
        <v>255</v>
      </c>
    </row>
    <row r="136" spans="1:14">
      <c r="A136" s="7" t="str">
        <f t="shared" si="13"/>
        <v>Item_HairAcc_Hat</v>
      </c>
      <c r="B136" t="s">
        <v>26</v>
      </c>
      <c r="C136" t="s">
        <v>220</v>
      </c>
      <c r="D136" t="s">
        <v>215</v>
      </c>
      <c r="H136" t="s">
        <v>348</v>
      </c>
      <c r="I136" t="s">
        <v>348</v>
      </c>
      <c r="J136" s="11" t="s">
        <v>356</v>
      </c>
      <c r="K136" s="11" t="s">
        <v>354</v>
      </c>
      <c r="L136" s="11"/>
      <c r="M136" t="s">
        <v>11</v>
      </c>
      <c r="N136">
        <v>255</v>
      </c>
    </row>
    <row r="137" spans="1:14">
      <c r="A137" s="7" t="str">
        <f t="shared" si="13"/>
        <v>Item_HairAcc_Hat</v>
      </c>
      <c r="B137" t="s">
        <v>26</v>
      </c>
      <c r="C137" t="s">
        <v>220</v>
      </c>
      <c r="D137" t="s">
        <v>215</v>
      </c>
      <c r="H137" t="s">
        <v>349</v>
      </c>
      <c r="I137" t="s">
        <v>349</v>
      </c>
      <c r="J137" s="11" t="s">
        <v>356</v>
      </c>
      <c r="K137" s="11" t="s">
        <v>354</v>
      </c>
      <c r="L137" s="11"/>
      <c r="M137" t="s">
        <v>11</v>
      </c>
      <c r="N137">
        <v>255</v>
      </c>
    </row>
    <row r="138" spans="1:14">
      <c r="A138" s="7" t="s">
        <v>2</v>
      </c>
      <c r="C138" s="9"/>
      <c r="D138" s="9"/>
      <c r="E138" s="9"/>
      <c r="F138" s="9"/>
      <c r="G138" s="9"/>
      <c r="H138" s="1"/>
      <c r="I138" s="1"/>
      <c r="L138" s="11"/>
      <c r="M138" s="11"/>
    </row>
    <row r="139" spans="1:14">
      <c r="A139" s="7" t="str">
        <f t="shared" si="13"/>
        <v>Item_Player_Player_Human</v>
      </c>
      <c r="B139" t="s">
        <v>26</v>
      </c>
      <c r="C139" s="9" t="s">
        <v>7</v>
      </c>
      <c r="D139" s="9" t="s">
        <v>7</v>
      </c>
      <c r="E139" s="9" t="s">
        <v>46</v>
      </c>
      <c r="F139" s="9"/>
      <c r="G139" s="9" t="s">
        <v>21</v>
      </c>
      <c r="H139" t="s">
        <v>59</v>
      </c>
      <c r="I139" t="s">
        <v>113</v>
      </c>
      <c r="J139" s="11" t="s">
        <v>107</v>
      </c>
      <c r="K139" s="11" t="s">
        <v>106</v>
      </c>
      <c r="L139" s="9" t="s">
        <v>165</v>
      </c>
      <c r="M139" t="s">
        <v>11</v>
      </c>
      <c r="N139">
        <v>1</v>
      </c>
    </row>
    <row r="140" spans="1:14">
      <c r="A140" s="7" t="str">
        <f t="shared" si="13"/>
        <v>Item_Player_Player_Dog</v>
      </c>
      <c r="B140" t="s">
        <v>26</v>
      </c>
      <c r="C140" s="9" t="s">
        <v>7</v>
      </c>
      <c r="D140" s="9" t="s">
        <v>7</v>
      </c>
      <c r="E140" s="9" t="s">
        <v>68</v>
      </c>
      <c r="F140" s="9"/>
      <c r="G140" s="9" t="s">
        <v>21</v>
      </c>
      <c r="H140" t="s">
        <v>59</v>
      </c>
      <c r="I140" t="s">
        <v>114</v>
      </c>
      <c r="J140" s="11" t="s">
        <v>107</v>
      </c>
      <c r="K140" s="11" t="s">
        <v>106</v>
      </c>
      <c r="L140" s="9" t="s">
        <v>165</v>
      </c>
      <c r="M140" t="s">
        <v>11</v>
      </c>
      <c r="N140">
        <v>1</v>
      </c>
    </row>
    <row r="141" spans="1:14">
      <c r="A141" s="7" t="str">
        <f t="shared" si="13"/>
        <v>Item_Player_Player_Eagle</v>
      </c>
      <c r="B141" t="s">
        <v>26</v>
      </c>
      <c r="C141" s="9" t="s">
        <v>7</v>
      </c>
      <c r="D141" s="9" t="s">
        <v>7</v>
      </c>
      <c r="E141" s="9" t="s">
        <v>69</v>
      </c>
      <c r="F141" s="9"/>
      <c r="G141" s="9" t="s">
        <v>21</v>
      </c>
      <c r="H141" t="s">
        <v>59</v>
      </c>
      <c r="I141" t="s">
        <v>115</v>
      </c>
      <c r="J141" s="11" t="s">
        <v>107</v>
      </c>
      <c r="K141" s="11" t="s">
        <v>106</v>
      </c>
      <c r="L141" s="9" t="s">
        <v>165</v>
      </c>
      <c r="M141" t="s">
        <v>11</v>
      </c>
      <c r="N141">
        <v>1</v>
      </c>
    </row>
    <row r="142" spans="1:14">
      <c r="A142" s="7" t="str">
        <f t="shared" si="13"/>
        <v>Item_Player_Player_Snake</v>
      </c>
      <c r="B142" t="s">
        <v>26</v>
      </c>
      <c r="C142" s="9" t="s">
        <v>7</v>
      </c>
      <c r="D142" s="9" t="s">
        <v>7</v>
      </c>
      <c r="E142" s="9" t="s">
        <v>70</v>
      </c>
      <c r="F142" s="9"/>
      <c r="G142" s="9" t="s">
        <v>21</v>
      </c>
      <c r="H142" t="s">
        <v>59</v>
      </c>
      <c r="I142" t="s">
        <v>116</v>
      </c>
      <c r="J142" s="11" t="s">
        <v>107</v>
      </c>
      <c r="K142" s="11" t="s">
        <v>106</v>
      </c>
      <c r="L142" s="9" t="s">
        <v>165</v>
      </c>
      <c r="M142" t="s">
        <v>11</v>
      </c>
      <c r="N142">
        <v>1</v>
      </c>
    </row>
    <row r="177" spans="3:12">
      <c r="C177" s="9"/>
      <c r="D177" s="9"/>
      <c r="E177" s="9"/>
      <c r="F177" s="9"/>
      <c r="G177" s="9"/>
      <c r="H177" s="9"/>
      <c r="L177" s="1"/>
    </row>
    <row r="178" spans="3:12">
      <c r="L17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B59ECF9-BEB9-264A-A494-976028F5B748}">
          <x14:formula1>
            <xm:f>Enum!$H$2:$H$1029</xm:f>
          </x14:formula1>
          <xm:sqref>N138 S4:S73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ColWidth="11.140625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92</v>
      </c>
      <c r="E1" s="5" t="s">
        <v>2</v>
      </c>
      <c r="F1" s="8" t="s">
        <v>2</v>
      </c>
      <c r="G1" s="8" t="s">
        <v>2</v>
      </c>
      <c r="H1" s="8" t="s">
        <v>2</v>
      </c>
      <c r="I1" s="18" t="s">
        <v>2</v>
      </c>
      <c r="J1" s="5" t="s">
        <v>101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102</v>
      </c>
      <c r="E2" s="6" t="s">
        <v>103</v>
      </c>
      <c r="F2" s="8" t="s">
        <v>95</v>
      </c>
      <c r="G2" s="8" t="s">
        <v>93</v>
      </c>
      <c r="H2" s="8" t="s">
        <v>94</v>
      </c>
      <c r="I2" s="8"/>
      <c r="J2" s="6" t="s">
        <v>99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100</v>
      </c>
      <c r="D3" s="9" t="s">
        <v>103</v>
      </c>
      <c r="E3" s="2" t="s">
        <v>98</v>
      </c>
      <c r="F3" s="1" t="s">
        <v>96</v>
      </c>
      <c r="G3" s="1" t="s">
        <v>96</v>
      </c>
      <c r="H3" s="1" t="s">
        <v>96</v>
      </c>
      <c r="I3" s="1"/>
      <c r="J3" s="9" t="str">
        <f>_xlfn.TEXTJOIN(",",TRUE,E3:H3)</f>
        <v>Friendly,Hostile,Hostile,Hostile</v>
      </c>
      <c r="K3" s="9"/>
    </row>
    <row r="4" spans="1:17">
      <c r="A4" s="7" t="str">
        <f>_xlfn.TEXTJOIN("_",TRUE,B4,D4)</f>
        <v>FactionRelation_Faction2</v>
      </c>
      <c r="B4" t="s">
        <v>100</v>
      </c>
      <c r="D4" s="9" t="s">
        <v>95</v>
      </c>
      <c r="E4" s="1" t="s">
        <v>96</v>
      </c>
      <c r="F4" s="2" t="s">
        <v>98</v>
      </c>
      <c r="G4" s="1" t="s">
        <v>96</v>
      </c>
      <c r="H4" s="1" t="s">
        <v>96</v>
      </c>
      <c r="I4" s="1"/>
      <c r="J4" s="9" t="str">
        <f>_xlfn.TEXTJOIN(",",TRUE,E4:H4)</f>
        <v>Hostile,Friendly,Hostile,Hostile</v>
      </c>
      <c r="K4" s="9"/>
    </row>
    <row r="5" spans="1:17">
      <c r="A5" s="7" t="str">
        <f>_xlfn.TEXTJOIN("_",TRUE,B5,D5)</f>
        <v>FactionRelation_Faction3</v>
      </c>
      <c r="B5" t="s">
        <v>100</v>
      </c>
      <c r="D5" s="9" t="s">
        <v>93</v>
      </c>
      <c r="E5" s="1" t="s">
        <v>96</v>
      </c>
      <c r="F5" s="1" t="s">
        <v>96</v>
      </c>
      <c r="G5" s="2" t="s">
        <v>98</v>
      </c>
      <c r="H5" s="1" t="s">
        <v>96</v>
      </c>
      <c r="I5" s="1"/>
      <c r="J5" s="9" t="str">
        <f>_xlfn.TEXTJOIN(",",TRUE,E5:H5)</f>
        <v>Hostile,Hostile,Friendly,Hostile</v>
      </c>
      <c r="K5" s="9"/>
    </row>
    <row r="6" spans="1:17">
      <c r="A6" s="7" t="str">
        <f>_xlfn.TEXTJOIN("_",TRUE,B6,D6)</f>
        <v>FactionRelation_Faction4</v>
      </c>
      <c r="B6" t="s">
        <v>100</v>
      </c>
      <c r="D6" s="9" t="s">
        <v>94</v>
      </c>
      <c r="E6" s="1" t="s">
        <v>96</v>
      </c>
      <c r="F6" s="1" t="s">
        <v>96</v>
      </c>
      <c r="G6" s="1" t="s">
        <v>96</v>
      </c>
      <c r="H6" s="2" t="s">
        <v>98</v>
      </c>
      <c r="J6" s="9" t="str">
        <f>_xlfn.TEXTJOIN(",",TRUE,E6:H6)</f>
        <v>Hostile,Hostile,Hostile,Friendly</v>
      </c>
    </row>
    <row r="7" spans="1:17">
      <c r="D7" s="9"/>
      <c r="E7" s="9"/>
      <c r="J7" s="9"/>
      <c r="K7" s="9"/>
    </row>
    <row r="8" spans="1:17">
      <c r="D8" s="9"/>
      <c r="E8" s="9"/>
      <c r="J8" s="9"/>
      <c r="K8" s="9"/>
    </row>
    <row r="9" spans="1:17">
      <c r="D9" s="9"/>
      <c r="E9" s="9"/>
      <c r="J9" s="9"/>
      <c r="K9" s="9"/>
    </row>
    <row r="10" spans="1:17">
      <c r="D10" s="9"/>
      <c r="E10" s="9"/>
      <c r="J10" s="9"/>
      <c r="K10" s="9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Enum!$H$2:$H$1029</xm:f>
          </x14:formula1>
          <xm:sqref>L6:M6 Q3:Q7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ColWidth="11.140625" defaultRowHeight="18"/>
  <sheetData>
    <row r="1" spans="1:10">
      <c r="A1" s="7"/>
      <c r="B1" s="7" t="s">
        <v>2</v>
      </c>
      <c r="C1" s="5" t="s">
        <v>2</v>
      </c>
      <c r="D1" s="5" t="s">
        <v>16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22</v>
      </c>
      <c r="E2" s="8" t="s">
        <v>29</v>
      </c>
      <c r="F2" s="8" t="s">
        <v>30</v>
      </c>
    </row>
    <row r="3" spans="1:10">
      <c r="A3" s="7" t="str">
        <f t="shared" ref="A3:A8" si="0">_xlfn.TEXTJOIN("_",TRUE,B3,C3)</f>
        <v>Grade_Common</v>
      </c>
      <c r="B3" t="s">
        <v>55</v>
      </c>
      <c r="C3" s="1" t="s">
        <v>21</v>
      </c>
      <c r="D3" s="1" t="s">
        <v>21</v>
      </c>
      <c r="E3" t="s">
        <v>67</v>
      </c>
      <c r="F3" t="s">
        <v>60</v>
      </c>
    </row>
    <row r="4" spans="1:10">
      <c r="A4" s="7" t="str">
        <f t="shared" si="0"/>
        <v>Grade_Uncommon</v>
      </c>
      <c r="B4" t="s">
        <v>55</v>
      </c>
      <c r="C4" s="1" t="s">
        <v>61</v>
      </c>
      <c r="D4" s="1" t="s">
        <v>61</v>
      </c>
      <c r="E4" t="s">
        <v>67</v>
      </c>
      <c r="F4" t="s">
        <v>62</v>
      </c>
      <c r="I4" s="9"/>
      <c r="J4" s="9"/>
    </row>
    <row r="5" spans="1:10">
      <c r="A5" s="7" t="str">
        <f t="shared" si="0"/>
        <v>Grade_Rare</v>
      </c>
      <c r="B5" t="s">
        <v>55</v>
      </c>
      <c r="C5" s="1" t="s">
        <v>17</v>
      </c>
      <c r="D5" s="1" t="s">
        <v>17</v>
      </c>
      <c r="E5" t="s">
        <v>67</v>
      </c>
      <c r="F5" t="s">
        <v>63</v>
      </c>
      <c r="I5" s="9"/>
      <c r="J5" s="9"/>
    </row>
    <row r="6" spans="1:10">
      <c r="A6" s="7" t="str">
        <f t="shared" si="0"/>
        <v>Grade_Epic</v>
      </c>
      <c r="B6" t="s">
        <v>55</v>
      </c>
      <c r="C6" s="1" t="s">
        <v>18</v>
      </c>
      <c r="D6" s="1" t="s">
        <v>18</v>
      </c>
      <c r="E6" t="s">
        <v>67</v>
      </c>
      <c r="F6" t="s">
        <v>64</v>
      </c>
      <c r="I6" s="9"/>
      <c r="J6" s="9"/>
    </row>
    <row r="7" spans="1:10">
      <c r="A7" s="7" t="str">
        <f t="shared" si="0"/>
        <v>Grade_Unique</v>
      </c>
      <c r="B7" t="s">
        <v>55</v>
      </c>
      <c r="C7" s="1" t="s">
        <v>19</v>
      </c>
      <c r="D7" s="1" t="s">
        <v>19</v>
      </c>
      <c r="E7" t="s">
        <v>67</v>
      </c>
      <c r="F7" t="s">
        <v>65</v>
      </c>
      <c r="I7" s="9"/>
      <c r="J7" s="9"/>
    </row>
    <row r="8" spans="1:10">
      <c r="A8" s="7" t="str">
        <f t="shared" si="0"/>
        <v>Grade_Legend</v>
      </c>
      <c r="B8" t="s">
        <v>55</v>
      </c>
      <c r="C8" s="1" t="s">
        <v>20</v>
      </c>
      <c r="D8" s="1" t="s">
        <v>20</v>
      </c>
      <c r="E8" t="s">
        <v>67</v>
      </c>
      <c r="F8" t="s">
        <v>66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2" sqref="F2"/>
    </sheetView>
  </sheetViews>
  <sheetFormatPr baseColWidth="10" defaultColWidth="11.140625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32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51</v>
      </c>
      <c r="E2" s="6" t="s">
        <v>52</v>
      </c>
      <c r="F2" s="6" t="s">
        <v>162</v>
      </c>
    </row>
    <row r="3" spans="1:6">
      <c r="A3" s="7" t="str">
        <f>_xlfn.TEXTJOIN("_",TRUE,B3,C3)</f>
        <v>SynergeBiome_Test</v>
      </c>
      <c r="B3" t="s">
        <v>49</v>
      </c>
      <c r="C3" t="s">
        <v>50</v>
      </c>
      <c r="D3" s="9" t="s">
        <v>33</v>
      </c>
      <c r="E3">
        <v>3</v>
      </c>
      <c r="F3" t="s">
        <v>48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Enum!$I$2:$I$1029</xm:f>
          </x14:formula1>
          <xm:sqref>C5:C6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4" sqref="A1:F4"/>
    </sheetView>
  </sheetViews>
  <sheetFormatPr baseColWidth="10" defaultColWidth="11.140625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54</v>
      </c>
      <c r="E2" s="6" t="s">
        <v>52</v>
      </c>
      <c r="F2" s="6" t="s">
        <v>162</v>
      </c>
    </row>
    <row r="3" spans="1:6">
      <c r="A3" s="7" t="str">
        <f>_xlfn.TEXTJOIN("_",TRUE,B3,C3)</f>
        <v>SynergeElement_Test</v>
      </c>
      <c r="B3" t="s">
        <v>53</v>
      </c>
      <c r="C3" t="s">
        <v>50</v>
      </c>
      <c r="D3" s="9" t="s">
        <v>42</v>
      </c>
      <c r="E3">
        <v>1</v>
      </c>
      <c r="F3" t="s">
        <v>163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Enum!$I$2:$I$1029</xm:f>
          </x14:formula1>
          <xm:sqref>B5:B6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F21"/>
  <sheetViews>
    <sheetView tabSelected="1" workbookViewId="0">
      <selection activeCell="I8" sqref="I8"/>
    </sheetView>
  </sheetViews>
  <sheetFormatPr baseColWidth="10" defaultColWidth="11.140625" defaultRowHeight="18"/>
  <cols>
    <col min="1" max="1" width="23.28515625" bestFit="1" customWidth="1"/>
    <col min="8" max="8" width="24.5703125" bestFit="1" customWidth="1"/>
    <col min="9" max="9" width="13.42578125" bestFit="1" customWidth="1"/>
    <col min="10" max="10" width="18" bestFit="1" customWidth="1"/>
    <col min="11" max="12" width="19.28515625" customWidth="1"/>
    <col min="13" max="13" width="11.85546875" bestFit="1" customWidth="1"/>
    <col min="14" max="14" width="12.85546875" bestFit="1" customWidth="1"/>
    <col min="15" max="15" width="13.5703125" bestFit="1" customWidth="1"/>
    <col min="16" max="16" width="12.85546875" bestFit="1" customWidth="1"/>
  </cols>
  <sheetData>
    <row r="1" spans="1:3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19" t="s">
        <v>166</v>
      </c>
      <c r="H1" s="19" t="s">
        <v>71</v>
      </c>
      <c r="I1" s="8" t="s">
        <v>0</v>
      </c>
      <c r="J1" s="8" t="s">
        <v>0</v>
      </c>
      <c r="K1" s="5" t="s">
        <v>118</v>
      </c>
      <c r="L1" s="5" t="s">
        <v>9</v>
      </c>
      <c r="M1" s="8" t="s">
        <v>120</v>
      </c>
      <c r="N1" s="5" t="s">
        <v>9</v>
      </c>
      <c r="O1" s="8" t="s">
        <v>124</v>
      </c>
      <c r="P1" s="5" t="s">
        <v>9</v>
      </c>
      <c r="Q1" s="8"/>
      <c r="R1" s="8"/>
      <c r="S1" s="8"/>
      <c r="T1" s="8"/>
      <c r="U1" s="5"/>
      <c r="V1" s="5"/>
      <c r="W1" s="8"/>
      <c r="X1" s="8"/>
      <c r="Y1" s="5"/>
      <c r="Z1" s="8"/>
      <c r="AA1" s="8"/>
      <c r="AB1" s="8"/>
      <c r="AC1" s="8"/>
      <c r="AD1" s="8"/>
      <c r="AE1" s="5"/>
      <c r="AF1" s="5"/>
    </row>
    <row r="2" spans="1:32">
      <c r="A2" s="7"/>
      <c r="B2" s="8"/>
      <c r="C2" s="6"/>
      <c r="D2" s="6"/>
      <c r="E2" s="6"/>
      <c r="F2" s="6"/>
      <c r="G2" s="19" t="s">
        <v>167</v>
      </c>
      <c r="H2" s="19" t="s">
        <v>135</v>
      </c>
      <c r="I2" s="8" t="s">
        <v>29</v>
      </c>
      <c r="J2" s="8" t="s">
        <v>30</v>
      </c>
      <c r="K2" s="6" t="s">
        <v>137</v>
      </c>
      <c r="L2" s="6" t="s">
        <v>132</v>
      </c>
      <c r="M2" s="8" t="s">
        <v>121</v>
      </c>
      <c r="N2" s="8" t="s">
        <v>133</v>
      </c>
      <c r="O2" s="8" t="s">
        <v>125</v>
      </c>
      <c r="P2" s="8" t="s">
        <v>134</v>
      </c>
      <c r="Q2" s="8"/>
      <c r="R2" s="8"/>
      <c r="S2" s="8"/>
      <c r="T2" s="8"/>
      <c r="U2" s="6"/>
      <c r="V2" s="6"/>
      <c r="W2" s="8"/>
      <c r="X2" s="8"/>
      <c r="Y2" s="6"/>
      <c r="Z2" s="8"/>
      <c r="AA2" s="8"/>
      <c r="AB2" s="8"/>
      <c r="AC2" s="8"/>
      <c r="AD2" s="8"/>
      <c r="AE2" s="6"/>
      <c r="AF2" s="6"/>
    </row>
    <row r="3" spans="1:32">
      <c r="A3" s="7" t="s">
        <v>2</v>
      </c>
      <c r="D3" s="9"/>
      <c r="E3" s="9"/>
      <c r="F3" s="9"/>
      <c r="G3" s="9"/>
      <c r="H3" s="9" t="s">
        <v>147</v>
      </c>
      <c r="K3" s="9"/>
      <c r="L3" s="2" t="s">
        <v>130</v>
      </c>
      <c r="N3" s="2" t="s">
        <v>130</v>
      </c>
      <c r="O3" s="11"/>
      <c r="P3" s="2" t="s">
        <v>130</v>
      </c>
      <c r="Q3" s="9"/>
      <c r="S3" s="9"/>
    </row>
    <row r="4" spans="1:32">
      <c r="A4" s="7" t="s">
        <v>2</v>
      </c>
      <c r="S4" s="13"/>
      <c r="T4" s="1"/>
    </row>
    <row r="5" spans="1:32">
      <c r="A5" s="7" t="s">
        <v>2</v>
      </c>
      <c r="S5" s="13"/>
      <c r="T5" s="1"/>
    </row>
    <row r="6" spans="1:32">
      <c r="A6" s="7" t="s">
        <v>145</v>
      </c>
      <c r="S6" s="13"/>
      <c r="T6" s="1"/>
    </row>
    <row r="7" spans="1:32">
      <c r="A7" s="7" t="str">
        <f>_xlfn.TEXTJOIN("_",TRUE,B7:F7)</f>
        <v>Skill_Projectile_Human_1</v>
      </c>
      <c r="B7" t="s">
        <v>23</v>
      </c>
      <c r="C7" t="s">
        <v>117</v>
      </c>
      <c r="D7" s="9" t="s">
        <v>46</v>
      </c>
      <c r="E7" s="9">
        <v>1</v>
      </c>
      <c r="F7" s="9"/>
      <c r="G7" s="9">
        <v>1</v>
      </c>
      <c r="H7" s="9">
        <v>10</v>
      </c>
      <c r="I7" t="s">
        <v>59</v>
      </c>
      <c r="J7" t="s">
        <v>57</v>
      </c>
      <c r="K7" s="9" t="s">
        <v>119</v>
      </c>
      <c r="L7" s="2"/>
      <c r="M7" t="s">
        <v>24</v>
      </c>
      <c r="O7" s="11" t="s">
        <v>117</v>
      </c>
      <c r="P7" s="11" t="s">
        <v>140</v>
      </c>
      <c r="S7" s="13"/>
      <c r="T7" s="1"/>
    </row>
    <row r="8" spans="1:32">
      <c r="A8" s="7" t="str">
        <f>_xlfn.TEXTJOIN("_",TRUE,B8:F8)</f>
        <v>Skill_Projectile_Bow_1</v>
      </c>
      <c r="B8" t="s">
        <v>23</v>
      </c>
      <c r="C8" t="s">
        <v>117</v>
      </c>
      <c r="D8" s="9" t="s">
        <v>209</v>
      </c>
      <c r="E8" s="9">
        <v>1</v>
      </c>
      <c r="F8" s="9"/>
      <c r="G8" s="9">
        <v>1</v>
      </c>
      <c r="H8" s="9">
        <v>10</v>
      </c>
      <c r="I8" t="s">
        <v>59</v>
      </c>
      <c r="J8" t="s">
        <v>57</v>
      </c>
      <c r="K8" s="9" t="s">
        <v>119</v>
      </c>
      <c r="L8" s="2"/>
      <c r="M8" t="s">
        <v>24</v>
      </c>
      <c r="O8" s="11" t="s">
        <v>117</v>
      </c>
      <c r="P8" s="11" t="s">
        <v>140</v>
      </c>
      <c r="S8" s="13"/>
      <c r="T8" s="1"/>
    </row>
    <row r="9" spans="1:32">
      <c r="A9" s="7" t="s">
        <v>2</v>
      </c>
      <c r="S9" s="13"/>
      <c r="T9" s="1"/>
    </row>
    <row r="10" spans="1:32">
      <c r="A10" s="7" t="s">
        <v>2</v>
      </c>
      <c r="S10" s="13"/>
      <c r="T10" s="1"/>
    </row>
    <row r="11" spans="1:32">
      <c r="A11" s="7" t="s">
        <v>146</v>
      </c>
    </row>
    <row r="12" spans="1:32">
      <c r="A12" s="7" t="str">
        <f>_xlfn.TEXTJOIN("_",TRUE,B12:F12)</f>
        <v>Skill_Projectile_Hit_1</v>
      </c>
      <c r="B12" t="s">
        <v>23</v>
      </c>
      <c r="C12" t="s">
        <v>117</v>
      </c>
      <c r="D12" s="9" t="s">
        <v>131</v>
      </c>
      <c r="E12" s="9">
        <v>1</v>
      </c>
      <c r="F12" s="9"/>
      <c r="G12" s="9">
        <v>0</v>
      </c>
      <c r="H12" s="9">
        <v>1</v>
      </c>
      <c r="I12" t="s">
        <v>59</v>
      </c>
      <c r="J12" t="s">
        <v>58</v>
      </c>
      <c r="K12" s="9" t="s">
        <v>119</v>
      </c>
      <c r="L12" s="2"/>
      <c r="M12" t="s">
        <v>122</v>
      </c>
      <c r="N12">
        <v>0.6</v>
      </c>
      <c r="O12" s="11" t="s">
        <v>126</v>
      </c>
      <c r="P12" s="11" t="s">
        <v>182</v>
      </c>
    </row>
    <row r="13" spans="1:32">
      <c r="A13" s="7" t="str">
        <f>_xlfn.TEXTJOIN("_",TRUE,B13:F13)</f>
        <v>Skill_Human_MeleeAttack_1</v>
      </c>
      <c r="B13" t="s">
        <v>23</v>
      </c>
      <c r="C13" t="s">
        <v>46</v>
      </c>
      <c r="D13" s="9" t="s">
        <v>136</v>
      </c>
      <c r="E13" s="9">
        <v>1</v>
      </c>
      <c r="F13" s="9"/>
      <c r="G13" s="9">
        <v>1</v>
      </c>
      <c r="H13" s="9">
        <v>1</v>
      </c>
      <c r="I13" t="s">
        <v>59</v>
      </c>
      <c r="J13" t="s">
        <v>57</v>
      </c>
      <c r="K13" s="9" t="s">
        <v>119</v>
      </c>
      <c r="M13" t="s">
        <v>122</v>
      </c>
      <c r="N13">
        <v>0.1</v>
      </c>
      <c r="O13" s="11" t="s">
        <v>126</v>
      </c>
      <c r="P13" s="11" t="s">
        <v>182</v>
      </c>
    </row>
    <row r="14" spans="1:32">
      <c r="A14" s="7" t="s">
        <v>2</v>
      </c>
    </row>
    <row r="15" spans="1:32">
      <c r="A15" s="7" t="s">
        <v>2</v>
      </c>
    </row>
    <row r="16" spans="1:32">
      <c r="A16" s="7" t="s">
        <v>148</v>
      </c>
    </row>
    <row r="17" spans="1:16">
      <c r="A17" s="7" t="str">
        <f>_xlfn.TEXTJOIN("_",TRUE,B17:F17)</f>
        <v>Skill_Stat_1</v>
      </c>
      <c r="B17" t="s">
        <v>23</v>
      </c>
      <c r="C17" t="s">
        <v>153</v>
      </c>
      <c r="D17" s="9"/>
      <c r="E17" s="9">
        <v>1</v>
      </c>
      <c r="F17" s="9"/>
      <c r="G17" s="9">
        <v>0</v>
      </c>
      <c r="H17" s="9">
        <v>1</v>
      </c>
      <c r="I17" t="s">
        <v>59</v>
      </c>
      <c r="J17" t="s">
        <v>58</v>
      </c>
      <c r="K17" s="9" t="s">
        <v>119</v>
      </c>
      <c r="L17" s="2"/>
      <c r="M17" t="s">
        <v>123</v>
      </c>
      <c r="N17">
        <v>0.1</v>
      </c>
      <c r="O17" s="11" t="s">
        <v>154</v>
      </c>
      <c r="P17" s="11" t="s">
        <v>155</v>
      </c>
    </row>
    <row r="18" spans="1:16">
      <c r="A18" s="14" t="s">
        <v>2</v>
      </c>
      <c r="D18" s="9"/>
      <c r="E18" s="9"/>
      <c r="F18" s="9"/>
      <c r="G18" s="9"/>
      <c r="H18" s="9"/>
      <c r="K18" s="9"/>
      <c r="L18" s="24"/>
      <c r="O18" s="11"/>
      <c r="P18" s="11"/>
    </row>
    <row r="19" spans="1:16">
      <c r="A19" s="14" t="s">
        <v>2</v>
      </c>
    </row>
    <row r="20" spans="1:16">
      <c r="A20" s="19" t="s">
        <v>352</v>
      </c>
    </row>
    <row r="21" spans="1:16">
      <c r="A21" s="7" t="str">
        <f>_xlfn.TEXTJOIN("_",TRUE,B21:F21)</f>
        <v>Skill_Human_AddBuff_1</v>
      </c>
      <c r="B21" t="s">
        <v>23</v>
      </c>
      <c r="C21" t="s">
        <v>46</v>
      </c>
      <c r="D21" s="9" t="s">
        <v>164</v>
      </c>
      <c r="E21" s="9">
        <v>1</v>
      </c>
      <c r="F21" s="9"/>
      <c r="G21" s="9">
        <v>0</v>
      </c>
      <c r="H21" s="9">
        <v>1</v>
      </c>
      <c r="I21" t="s">
        <v>59</v>
      </c>
      <c r="J21" t="s">
        <v>58</v>
      </c>
      <c r="K21" s="9" t="s">
        <v>119</v>
      </c>
      <c r="L21" s="2"/>
      <c r="M21" t="s">
        <v>123</v>
      </c>
      <c r="N21">
        <v>0.1</v>
      </c>
      <c r="O21" s="11" t="s">
        <v>164</v>
      </c>
      <c r="P21" s="11" t="s">
        <v>163</v>
      </c>
    </row>
  </sheetData>
  <phoneticPr fontId="1" type="noConversion"/>
  <dataValidations disablePrompts="1" count="1">
    <dataValidation type="list" allowBlank="1" showInputMessage="1" showErrorMessage="1" sqref="L13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C7A59-A31B-3B4B-8194-C1B482CAFDC6}">
  <dimension ref="A1:N16"/>
  <sheetViews>
    <sheetView workbookViewId="0">
      <selection activeCell="N19" sqref="N19"/>
    </sheetView>
  </sheetViews>
  <sheetFormatPr baseColWidth="10" defaultRowHeight="18"/>
  <cols>
    <col min="1" max="1" width="13.28515625" bestFit="1" customWidth="1"/>
  </cols>
  <sheetData>
    <row r="1" spans="1:14">
      <c r="A1" s="8"/>
      <c r="B1" s="20" t="s">
        <v>199</v>
      </c>
      <c r="C1" s="15" t="s">
        <v>199</v>
      </c>
      <c r="D1" s="15" t="s">
        <v>199</v>
      </c>
      <c r="E1" s="15" t="s">
        <v>199</v>
      </c>
      <c r="F1" s="15" t="s">
        <v>0</v>
      </c>
      <c r="G1" s="8" t="s">
        <v>0</v>
      </c>
      <c r="H1" s="8" t="s">
        <v>0</v>
      </c>
      <c r="I1" s="23" t="s">
        <v>2</v>
      </c>
      <c r="J1" s="23" t="s">
        <v>2</v>
      </c>
      <c r="K1" s="23" t="s">
        <v>2</v>
      </c>
      <c r="L1" s="23" t="s">
        <v>2</v>
      </c>
      <c r="M1" s="23" t="s">
        <v>2</v>
      </c>
      <c r="N1" s="23" t="s">
        <v>2</v>
      </c>
    </row>
    <row r="2" spans="1:14">
      <c r="A2" s="8"/>
      <c r="B2" s="20"/>
      <c r="C2" s="21"/>
      <c r="D2" s="21"/>
      <c r="E2" s="21"/>
      <c r="F2" s="21" t="s">
        <v>201</v>
      </c>
      <c r="G2" s="21" t="s">
        <v>206</v>
      </c>
      <c r="H2" s="21" t="s">
        <v>207</v>
      </c>
    </row>
    <row r="3" spans="1:14">
      <c r="A3" s="7" t="str">
        <f>_xlfn.TEXTJOIN("_",TRUE,B3:E3)</f>
        <v>Skin_Human_1</v>
      </c>
      <c r="B3" s="11" t="s">
        <v>200</v>
      </c>
      <c r="C3" s="9" t="s">
        <v>46</v>
      </c>
      <c r="D3" s="22">
        <v>1</v>
      </c>
      <c r="E3" s="22"/>
      <c r="F3" s="11" t="s">
        <v>202</v>
      </c>
      <c r="G3" s="22" t="s">
        <v>185</v>
      </c>
      <c r="H3" s="22" t="s">
        <v>184</v>
      </c>
    </row>
    <row r="4" spans="1:14">
      <c r="A4" s="7" t="str">
        <f>_xlfn.TEXTJOIN("_",TRUE,B4:E4)</f>
        <v>Skin_Dog_1</v>
      </c>
      <c r="B4" s="11" t="s">
        <v>200</v>
      </c>
      <c r="C4" s="9" t="s">
        <v>68</v>
      </c>
      <c r="D4" s="22">
        <v>1</v>
      </c>
      <c r="E4" s="22"/>
      <c r="F4" s="22" t="s">
        <v>203</v>
      </c>
      <c r="G4" s="22" t="s">
        <v>186</v>
      </c>
      <c r="H4" s="22" t="s">
        <v>184</v>
      </c>
    </row>
    <row r="5" spans="1:14">
      <c r="A5" s="7" t="str">
        <f>_xlfn.TEXTJOIN("_",TRUE,B5:E5)</f>
        <v>Skin_Eagle_1</v>
      </c>
      <c r="B5" s="11" t="s">
        <v>200</v>
      </c>
      <c r="C5" s="9" t="s">
        <v>69</v>
      </c>
      <c r="D5" s="22">
        <v>1</v>
      </c>
      <c r="E5" s="11"/>
      <c r="F5" s="11" t="s">
        <v>204</v>
      </c>
      <c r="G5" s="22" t="s">
        <v>189</v>
      </c>
      <c r="H5" s="22" t="s">
        <v>184</v>
      </c>
    </row>
    <row r="6" spans="1:14">
      <c r="A6" s="7" t="str">
        <f>_xlfn.TEXTJOIN("_",TRUE,B6:E6)</f>
        <v>Skin_Snake_1</v>
      </c>
      <c r="B6" s="11" t="s">
        <v>200</v>
      </c>
      <c r="C6" s="9" t="s">
        <v>70</v>
      </c>
      <c r="D6" s="22">
        <v>1</v>
      </c>
      <c r="E6" s="11"/>
      <c r="F6" s="22" t="s">
        <v>205</v>
      </c>
      <c r="G6" s="22" t="s">
        <v>191</v>
      </c>
      <c r="H6" s="22" t="s">
        <v>184</v>
      </c>
      <c r="K6">
        <v>1</v>
      </c>
      <c r="L6" t="s">
        <v>183</v>
      </c>
      <c r="M6" t="s">
        <v>185</v>
      </c>
      <c r="N6" t="s">
        <v>184</v>
      </c>
    </row>
    <row r="7" spans="1:14">
      <c r="A7" s="11"/>
      <c r="B7" s="11"/>
      <c r="C7" s="11"/>
      <c r="D7" s="22"/>
      <c r="E7" s="11"/>
      <c r="F7" s="11"/>
      <c r="G7" s="22"/>
      <c r="L7" t="s">
        <v>187</v>
      </c>
      <c r="M7" t="s">
        <v>186</v>
      </c>
      <c r="N7" t="s">
        <v>184</v>
      </c>
    </row>
    <row r="8" spans="1:14">
      <c r="A8" s="11"/>
      <c r="B8" s="11"/>
      <c r="C8" s="11"/>
      <c r="D8" s="11"/>
      <c r="E8" s="11"/>
      <c r="F8" s="22"/>
      <c r="G8" s="22"/>
      <c r="L8" t="s">
        <v>188</v>
      </c>
      <c r="M8" t="s">
        <v>189</v>
      </c>
      <c r="N8" t="s">
        <v>184</v>
      </c>
    </row>
    <row r="9" spans="1:14">
      <c r="L9" t="s">
        <v>190</v>
      </c>
      <c r="M9" t="s">
        <v>191</v>
      </c>
      <c r="N9" t="s">
        <v>184</v>
      </c>
    </row>
    <row r="10" spans="1:14">
      <c r="L10" t="s">
        <v>192</v>
      </c>
      <c r="M10" t="s">
        <v>194</v>
      </c>
      <c r="N10" t="s">
        <v>193</v>
      </c>
    </row>
    <row r="11" spans="1:14">
      <c r="L11" t="s">
        <v>195</v>
      </c>
      <c r="M11" t="s">
        <v>194</v>
      </c>
      <c r="N11" t="s">
        <v>196</v>
      </c>
    </row>
    <row r="12" spans="1:14">
      <c r="L12" t="s">
        <v>197</v>
      </c>
      <c r="M12" t="s">
        <v>194</v>
      </c>
      <c r="N12" t="s">
        <v>193</v>
      </c>
    </row>
    <row r="13" spans="1:14">
      <c r="C13" s="9"/>
    </row>
    <row r="14" spans="1:14">
      <c r="C14" s="9"/>
    </row>
    <row r="15" spans="1:14">
      <c r="C15" s="9"/>
    </row>
    <row r="16" spans="1:14">
      <c r="C16" s="9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workbookViewId="0">
      <selection activeCell="A3" sqref="A3"/>
    </sheetView>
  </sheetViews>
  <sheetFormatPr baseColWidth="10" defaultColWidth="11.140625" defaultRowHeight="18"/>
  <cols>
    <col min="1" max="1" width="15.42578125" bestFit="1" customWidth="1"/>
    <col min="7" max="7" width="15.85546875" bestFit="1" customWidth="1"/>
    <col min="8" max="8" width="23.140625" bestFit="1" customWidth="1"/>
    <col min="9" max="9" width="16.42578125" bestFit="1" customWidth="1"/>
    <col min="10" max="10" width="17.7109375" bestFit="1" customWidth="1"/>
  </cols>
  <sheetData>
    <row r="1" spans="1:1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71</v>
      </c>
      <c r="G1" s="7" t="s">
        <v>1</v>
      </c>
      <c r="H1" s="5" t="s">
        <v>1</v>
      </c>
      <c r="I1" s="5" t="s">
        <v>0</v>
      </c>
      <c r="J1" s="5" t="s">
        <v>0</v>
      </c>
      <c r="K1" s="19" t="s">
        <v>159</v>
      </c>
      <c r="L1" s="5" t="s">
        <v>9</v>
      </c>
    </row>
    <row r="2" spans="1:12">
      <c r="A2" s="7"/>
      <c r="B2" s="8"/>
      <c r="C2" s="6"/>
      <c r="D2" s="6"/>
      <c r="E2" s="6"/>
      <c r="F2" s="6" t="s">
        <v>143</v>
      </c>
      <c r="G2" s="6" t="s">
        <v>10</v>
      </c>
      <c r="H2" s="6" t="s">
        <v>144</v>
      </c>
      <c r="I2" s="6" t="s">
        <v>29</v>
      </c>
      <c r="J2" s="6" t="s">
        <v>30</v>
      </c>
      <c r="K2" s="19" t="s">
        <v>160</v>
      </c>
      <c r="L2" s="6" t="s">
        <v>161</v>
      </c>
    </row>
    <row r="3" spans="1:12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108</v>
      </c>
      <c r="J3" s="9" t="s">
        <v>109</v>
      </c>
      <c r="K3" s="1" t="s">
        <v>156</v>
      </c>
      <c r="L3" t="s">
        <v>155</v>
      </c>
    </row>
    <row r="4" spans="1:12">
      <c r="C4" s="9"/>
      <c r="D4" s="9"/>
      <c r="E4" s="9"/>
      <c r="F4" s="9"/>
      <c r="G4" s="9"/>
      <c r="H4" s="9"/>
      <c r="I4" s="9"/>
      <c r="J4" s="9"/>
    </row>
    <row r="6" spans="1:12">
      <c r="F6" s="9"/>
      <c r="G6" s="9"/>
      <c r="H6" s="9"/>
      <c r="I6" s="9"/>
      <c r="J6" s="9"/>
    </row>
    <row r="7" spans="1:12">
      <c r="G7" s="9"/>
      <c r="H7" s="9"/>
      <c r="I7" s="9"/>
      <c r="J7" s="9"/>
    </row>
    <row r="8" spans="1:12">
      <c r="F8" s="9"/>
      <c r="G8" s="9" t="s">
        <v>198</v>
      </c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A3" sqref="A3"/>
    </sheetView>
  </sheetViews>
  <sheetFormatPr baseColWidth="10" defaultColWidth="11.140625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141</v>
      </c>
      <c r="E2" s="6" t="s">
        <v>29</v>
      </c>
      <c r="F2" s="6" t="s">
        <v>74</v>
      </c>
      <c r="G2" s="6" t="s">
        <v>30</v>
      </c>
      <c r="H2" s="6" t="s">
        <v>31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117</v>
      </c>
      <c r="C3" s="9" t="s">
        <v>46</v>
      </c>
      <c r="D3" s="9">
        <v>1</v>
      </c>
      <c r="E3" s="9" t="s">
        <v>108</v>
      </c>
      <c r="F3" s="9" t="s">
        <v>138</v>
      </c>
      <c r="G3" s="9" t="s">
        <v>109</v>
      </c>
      <c r="H3" s="9" t="s">
        <v>139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1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Enum</vt:lpstr>
      <vt:lpstr>Constant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Skin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2026-04-11T04:49:01Z</dcterms:modified>
</cp:coreProperties>
</file>