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A13007B9-FF0B-7F4D-8BDA-677EE9945DCA}" xr6:coauthVersionLast="47" xr6:coauthVersionMax="47" xr10:uidLastSave="{00000000-0000-0000-0000-000000000000}"/>
  <bookViews>
    <workbookView xWindow="51200" yWindow="500" windowWidth="51200" windowHeight="26600" activeTab="10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Buff" sheetId="29" r:id="rId12"/>
    <sheet name="Projectile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30" l="1"/>
  <c r="A6" i="30"/>
  <c r="A7" i="30"/>
  <c r="A8" i="30"/>
  <c r="A19" i="27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<sst xmlns="http://schemas.openxmlformats.org/spreadsheetml/2006/main" count="543" uniqueCount="190">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</sst>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9" workbookViewId="0">
      <selection activeCell="C52" sqref="A49:C52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68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27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J43" s="11"/>
      <c r="K43" s="11"/>
    </row>
    <row r="44" spans="1:11">
      <c r="A44" s="1">
        <v>5</v>
      </c>
      <c r="B44" s="13" t="s">
        <v>131</v>
      </c>
      <c r="C44" s="1" t="s">
        <v>161</v>
      </c>
      <c r="F44" s="9"/>
      <c r="J44" s="11"/>
      <c r="K44" s="11"/>
    </row>
    <row r="45" spans="1:11">
      <c r="A45" s="1">
        <v>6</v>
      </c>
      <c r="B45" s="13" t="s">
        <v>131</v>
      </c>
      <c r="C45" s="1" t="s">
        <v>171</v>
      </c>
    </row>
    <row r="46" spans="1:11">
      <c r="A46" s="1">
        <v>1</v>
      </c>
      <c r="B46" s="11" t="s">
        <v>166</v>
      </c>
      <c r="C46" s="1" t="s">
        <v>163</v>
      </c>
    </row>
    <row r="47" spans="1:11">
      <c r="A47" s="1">
        <v>2</v>
      </c>
      <c r="B47" s="11" t="s">
        <v>166</v>
      </c>
      <c r="C47" s="1" t="s">
        <v>164</v>
      </c>
    </row>
    <row r="48" spans="1:11">
      <c r="A48" s="1">
        <v>3</v>
      </c>
      <c r="B48" s="11" t="s">
        <v>166</v>
      </c>
      <c r="C48" s="1" t="s">
        <v>165</v>
      </c>
    </row>
    <row r="49" spans="1:3">
      <c r="A49" s="1">
        <v>1</v>
      </c>
      <c r="B49" s="11" t="s">
        <v>176</v>
      </c>
      <c r="C49" s="1" t="s">
        <v>5</v>
      </c>
    </row>
    <row r="50" spans="1:3">
      <c r="A50" s="1">
        <v>2</v>
      </c>
      <c r="B50" s="11" t="s">
        <v>176</v>
      </c>
      <c r="C50" s="1" t="s">
        <v>177</v>
      </c>
    </row>
    <row r="51" spans="1:3">
      <c r="A51" s="1">
        <v>3</v>
      </c>
      <c r="B51" s="11" t="s">
        <v>176</v>
      </c>
      <c r="C51" s="1" t="s">
        <v>178</v>
      </c>
    </row>
    <row r="52" spans="1:3">
      <c r="A52" s="1">
        <v>4</v>
      </c>
      <c r="B52" s="11" t="s">
        <v>176</v>
      </c>
      <c r="C52" s="1" t="s">
        <v>179</v>
      </c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B56" s="1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  <c r="C69" s="1"/>
    </row>
    <row r="70" spans="1:3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176</v>
      </c>
      <c r="G1" s="5" t="s">
        <v>0</v>
      </c>
    </row>
    <row r="2" spans="1:8">
      <c r="A2" s="7"/>
      <c r="B2" s="8"/>
      <c r="C2" s="6"/>
      <c r="D2" s="6"/>
      <c r="E2" s="6"/>
      <c r="F2" s="6" t="s">
        <v>180</v>
      </c>
      <c r="G2" s="6" t="s">
        <v>175</v>
      </c>
    </row>
    <row r="3" spans="1:8">
      <c r="A3" s="7" t="s">
        <v>2</v>
      </c>
      <c r="E3" s="9"/>
      <c r="G3" s="9"/>
    </row>
    <row r="4" spans="1:8">
      <c r="A4" s="7" t="s">
        <v>187</v>
      </c>
      <c r="G4" s="9"/>
      <c r="H4" s="9"/>
    </row>
    <row r="5" spans="1:8">
      <c r="A5" s="7" t="str">
        <f>_xlfn.TEXTJOIN("_",TRUE,B5:D5)</f>
        <v>AI_Flow_DefaultDetectionRange</v>
      </c>
      <c r="B5" t="s">
        <v>181</v>
      </c>
      <c r="C5" t="s">
        <v>183</v>
      </c>
      <c r="D5" t="s">
        <v>182</v>
      </c>
      <c r="E5" s="9"/>
      <c r="F5" t="s">
        <v>178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181</v>
      </c>
      <c r="C6" t="s">
        <v>183</v>
      </c>
      <c r="D6" t="s">
        <v>184</v>
      </c>
      <c r="F6" t="s">
        <v>178</v>
      </c>
      <c r="G6" s="9">
        <v>1.5</v>
      </c>
    </row>
    <row r="7" spans="1:8">
      <c r="A7" s="7" t="str">
        <f t="shared" si="0"/>
        <v>AI_Flow_TargetLostRangeOffset</v>
      </c>
      <c r="B7" t="s">
        <v>181</v>
      </c>
      <c r="C7" t="s">
        <v>183</v>
      </c>
      <c r="D7" t="s">
        <v>185</v>
      </c>
      <c r="F7" t="s">
        <v>178</v>
      </c>
      <c r="G7" s="9">
        <v>2</v>
      </c>
    </row>
    <row r="8" spans="1:8">
      <c r="A8" s="7" t="str">
        <f t="shared" si="0"/>
        <v>AI_Flow_FoolowDistanceRatio</v>
      </c>
      <c r="B8" t="s">
        <v>181</v>
      </c>
      <c r="C8" t="s">
        <v>183</v>
      </c>
      <c r="D8" t="s">
        <v>186</v>
      </c>
      <c r="F8" t="s">
        <v>178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9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54</v>
      </c>
      <c r="D3" s="9" t="s">
        <v>95</v>
      </c>
      <c r="E3" s="9">
        <v>1</v>
      </c>
      <c r="F3" s="9" t="s">
        <v>94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W32"/>
  <sheetViews>
    <sheetView topLeftCell="B1" workbookViewId="0">
      <selection activeCell="D8" sqref="D8"/>
    </sheetView>
  </sheetViews>
  <sheetFormatPr baseColWidth="10" defaultColWidth="11.140625" defaultRowHeight="18"/>
  <cols>
    <col min="1" max="1" width="12" bestFit="1" customWidth="1"/>
    <col min="5" max="5" width="12.140625" bestFit="1" customWidth="1"/>
    <col min="6" max="6" width="18.5703125" bestFit="1" customWidth="1"/>
    <col min="7" max="7" width="16.42578125" bestFit="1" customWidth="1"/>
    <col min="8" max="8" width="21.7109375" bestFit="1" customWidth="1"/>
    <col min="9" max="10" width="21.7109375" customWidth="1"/>
    <col min="13" max="13" width="21.7109375" bestFit="1" customWidth="1"/>
    <col min="14" max="14" width="15.85546875" bestFit="1" customWidth="1"/>
  </cols>
  <sheetData>
    <row r="1" spans="1:23">
      <c r="A1" s="7"/>
      <c r="B1" s="7" t="s">
        <v>2</v>
      </c>
      <c r="C1" s="5"/>
      <c r="D1" s="5" t="s">
        <v>78</v>
      </c>
      <c r="E1" s="5" t="s">
        <v>0</v>
      </c>
      <c r="F1" s="5" t="s">
        <v>0</v>
      </c>
      <c r="G1" s="5" t="s">
        <v>0</v>
      </c>
      <c r="H1" s="5" t="s">
        <v>0</v>
      </c>
      <c r="I1" s="8" t="s">
        <v>15</v>
      </c>
      <c r="J1" s="8" t="s">
        <v>17</v>
      </c>
      <c r="K1" s="15" t="s">
        <v>31</v>
      </c>
      <c r="L1" s="8" t="s">
        <v>19</v>
      </c>
      <c r="M1" s="5" t="s">
        <v>0</v>
      </c>
      <c r="N1" s="5" t="s">
        <v>78</v>
      </c>
      <c r="O1" s="5" t="s">
        <v>99</v>
      </c>
      <c r="P1" s="5" t="s">
        <v>156</v>
      </c>
      <c r="Q1" s="5" t="s">
        <v>158</v>
      </c>
      <c r="R1" s="5"/>
      <c r="S1" s="5"/>
      <c r="T1" s="5"/>
      <c r="U1" s="5"/>
      <c r="V1" s="5"/>
      <c r="W1" s="5"/>
    </row>
    <row r="2" spans="1:23">
      <c r="A2" s="7"/>
      <c r="B2" s="8"/>
      <c r="C2" s="6"/>
      <c r="D2" s="6" t="s">
        <v>188</v>
      </c>
      <c r="E2" s="6" t="s">
        <v>32</v>
      </c>
      <c r="F2" s="6" t="s">
        <v>81</v>
      </c>
      <c r="G2" s="6" t="s">
        <v>33</v>
      </c>
      <c r="H2" s="6" t="s">
        <v>34</v>
      </c>
      <c r="I2" s="8" t="s">
        <v>16</v>
      </c>
      <c r="J2" s="8" t="s">
        <v>18</v>
      </c>
      <c r="K2" s="16" t="s">
        <v>60</v>
      </c>
      <c r="L2" s="8" t="s">
        <v>25</v>
      </c>
      <c r="M2" s="6" t="s">
        <v>79</v>
      </c>
      <c r="N2" s="6" t="s">
        <v>80</v>
      </c>
      <c r="O2" s="6" t="s">
        <v>109</v>
      </c>
      <c r="P2" s="6" t="s">
        <v>157</v>
      </c>
      <c r="Q2" s="6" t="s">
        <v>159</v>
      </c>
      <c r="R2" s="6"/>
      <c r="S2" s="14"/>
      <c r="T2" s="6"/>
      <c r="U2" s="6"/>
      <c r="V2" s="6"/>
      <c r="W2" s="6"/>
    </row>
    <row r="3" spans="1:23">
      <c r="A3" s="7" t="str">
        <f>_xlfn.TEXTJOIN("_",TRUE,B3,C3)</f>
        <v>Player_Human</v>
      </c>
      <c r="B3" t="s">
        <v>7</v>
      </c>
      <c r="C3" s="9" t="s">
        <v>49</v>
      </c>
      <c r="D3" s="9">
        <v>100</v>
      </c>
      <c r="E3" s="9" t="s">
        <v>115</v>
      </c>
      <c r="F3" s="9" t="s">
        <v>82</v>
      </c>
      <c r="G3" s="9" t="s">
        <v>116</v>
      </c>
      <c r="H3" s="9" t="s">
        <v>149</v>
      </c>
      <c r="I3" s="11" t="s">
        <v>114</v>
      </c>
      <c r="J3" s="11" t="s">
        <v>113</v>
      </c>
      <c r="K3" s="11" t="s">
        <v>60</v>
      </c>
      <c r="L3" s="9" t="s">
        <v>23</v>
      </c>
      <c r="M3" s="11" t="s">
        <v>86</v>
      </c>
      <c r="N3" s="9">
        <v>100</v>
      </c>
      <c r="O3" s="11" t="s">
        <v>110</v>
      </c>
      <c r="Q3" t="s">
        <v>45</v>
      </c>
    </row>
    <row r="4" spans="1:23">
      <c r="A4" s="7" t="str">
        <f>_xlfn.TEXTJOIN("_",TRUE,B4,C4)</f>
        <v>Player_Dog</v>
      </c>
      <c r="B4" t="s">
        <v>7</v>
      </c>
      <c r="C4" s="9" t="s">
        <v>75</v>
      </c>
      <c r="D4" s="9">
        <v>100</v>
      </c>
      <c r="E4" s="9" t="s">
        <v>115</v>
      </c>
      <c r="F4" s="9" t="s">
        <v>83</v>
      </c>
      <c r="G4" s="9" t="s">
        <v>117</v>
      </c>
      <c r="H4" s="9" t="s">
        <v>52</v>
      </c>
      <c r="I4" s="11" t="s">
        <v>114</v>
      </c>
      <c r="J4" s="11" t="s">
        <v>113</v>
      </c>
      <c r="K4" s="11" t="s">
        <v>60</v>
      </c>
      <c r="L4" s="9" t="s">
        <v>24</v>
      </c>
      <c r="M4" s="11" t="s">
        <v>87</v>
      </c>
      <c r="N4" s="9">
        <v>100</v>
      </c>
      <c r="O4" s="11" t="s">
        <v>102</v>
      </c>
      <c r="Q4" t="s">
        <v>45</v>
      </c>
    </row>
    <row r="5" spans="1:23">
      <c r="A5" s="7" t="str">
        <f>_xlfn.TEXTJOIN("_",TRUE,B5,C5)</f>
        <v>Player_Eagle</v>
      </c>
      <c r="B5" t="s">
        <v>7</v>
      </c>
      <c r="C5" s="9" t="s">
        <v>76</v>
      </c>
      <c r="D5" s="9">
        <v>100</v>
      </c>
      <c r="E5" s="9" t="s">
        <v>115</v>
      </c>
      <c r="F5" s="9" t="s">
        <v>84</v>
      </c>
      <c r="G5" s="9" t="s">
        <v>118</v>
      </c>
      <c r="H5" s="9" t="s">
        <v>52</v>
      </c>
      <c r="I5" s="11" t="s">
        <v>114</v>
      </c>
      <c r="J5" s="11" t="s">
        <v>113</v>
      </c>
      <c r="K5" s="11" t="s">
        <v>60</v>
      </c>
      <c r="L5" s="9" t="s">
        <v>24</v>
      </c>
      <c r="M5" s="11" t="s">
        <v>88</v>
      </c>
      <c r="N5" s="9">
        <v>100</v>
      </c>
      <c r="O5" s="11" t="s">
        <v>102</v>
      </c>
      <c r="Q5" t="s">
        <v>45</v>
      </c>
    </row>
    <row r="6" spans="1:23">
      <c r="A6" s="7" t="str">
        <f>_xlfn.TEXTJOIN("_",TRUE,B6,C6)</f>
        <v>Player_Snake</v>
      </c>
      <c r="B6" t="s">
        <v>7</v>
      </c>
      <c r="C6" s="9" t="s">
        <v>77</v>
      </c>
      <c r="D6" s="9">
        <v>100</v>
      </c>
      <c r="E6" s="9" t="s">
        <v>115</v>
      </c>
      <c r="F6" s="9" t="s">
        <v>85</v>
      </c>
      <c r="G6" s="9" t="s">
        <v>119</v>
      </c>
      <c r="H6" s="9" t="s">
        <v>52</v>
      </c>
      <c r="I6" s="11" t="s">
        <v>114</v>
      </c>
      <c r="J6" s="11" t="s">
        <v>113</v>
      </c>
      <c r="K6" s="11" t="s">
        <v>60</v>
      </c>
      <c r="L6" s="9" t="s">
        <v>24</v>
      </c>
      <c r="M6" s="11" t="s">
        <v>89</v>
      </c>
      <c r="N6" s="9">
        <v>100</v>
      </c>
      <c r="O6" s="11" t="s">
        <v>102</v>
      </c>
      <c r="Q6" t="s">
        <v>45</v>
      </c>
    </row>
    <row r="7" spans="1:23">
      <c r="A7" t="s">
        <v>2</v>
      </c>
      <c r="C7" s="9"/>
      <c r="D7" s="9"/>
      <c r="E7" s="9"/>
      <c r="F7" s="9"/>
      <c r="G7" s="9"/>
      <c r="H7" s="9"/>
      <c r="I7" s="11"/>
      <c r="J7" s="11"/>
      <c r="K7" s="11"/>
      <c r="L7" s="9"/>
    </row>
    <row r="8" spans="1:23">
      <c r="C8" s="9"/>
      <c r="D8" s="9"/>
      <c r="E8" s="9"/>
      <c r="F8" s="9"/>
      <c r="G8" s="9"/>
      <c r="K8" s="9"/>
    </row>
    <row r="9" spans="1:23">
      <c r="C9" s="9"/>
      <c r="D9" s="9"/>
      <c r="E9" s="9"/>
      <c r="F9" s="9"/>
      <c r="G9" s="9"/>
      <c r="K9" s="9"/>
    </row>
    <row r="10" spans="1:23">
      <c r="C10" s="9"/>
      <c r="D10" s="9"/>
      <c r="E10" s="9"/>
      <c r="F10" s="9"/>
      <c r="G10" s="9"/>
      <c r="K10" s="9"/>
    </row>
    <row r="11" spans="1:23">
      <c r="C11" s="9"/>
      <c r="D11" s="9"/>
      <c r="E11" s="9"/>
      <c r="F11" s="9"/>
      <c r="G11" s="9"/>
      <c r="K11" s="9"/>
    </row>
    <row r="12" spans="1:23">
      <c r="C12" s="9"/>
      <c r="D12" s="9"/>
      <c r="E12" s="9"/>
      <c r="F12" s="9"/>
      <c r="G12" s="9"/>
      <c r="H12" s="4"/>
      <c r="K12" s="9"/>
    </row>
    <row r="13" spans="1:23">
      <c r="C13" s="9"/>
      <c r="D13" s="9"/>
      <c r="E13" s="9"/>
      <c r="F13" s="9"/>
      <c r="G13" s="9"/>
      <c r="K13" s="9"/>
    </row>
    <row r="14" spans="1:23">
      <c r="C14" s="9"/>
      <c r="D14" s="9"/>
      <c r="E14" s="9"/>
      <c r="F14" s="9"/>
      <c r="G14" s="9"/>
      <c r="H14" s="3"/>
      <c r="K14" s="9"/>
    </row>
    <row r="15" spans="1:23">
      <c r="C15" s="9"/>
      <c r="D15" s="9"/>
      <c r="E15" s="9"/>
      <c r="F15" s="9"/>
      <c r="G15" s="9"/>
      <c r="H15" s="4"/>
      <c r="K15" s="9"/>
    </row>
    <row r="16" spans="1:23">
      <c r="C16" s="9"/>
      <c r="D16" s="9"/>
      <c r="E16" s="9"/>
      <c r="F16" s="9"/>
      <c r="G16" s="9"/>
      <c r="H16" s="4"/>
      <c r="K16" s="9"/>
    </row>
    <row r="17" spans="3:11">
      <c r="C17" s="9"/>
      <c r="D17" s="9"/>
      <c r="E17" s="9"/>
      <c r="F17" s="9"/>
      <c r="G17" s="9"/>
      <c r="H17" s="9"/>
      <c r="K17" s="9"/>
    </row>
    <row r="18" spans="3:11">
      <c r="C18" s="9"/>
      <c r="D18" s="9"/>
      <c r="E18" s="9"/>
      <c r="F18" s="9"/>
      <c r="G18" s="9"/>
      <c r="K18" s="9"/>
    </row>
    <row r="19" spans="3:11">
      <c r="C19" s="9"/>
      <c r="D19" s="9"/>
      <c r="E19" s="9"/>
      <c r="F19" s="9"/>
      <c r="G19" s="9"/>
      <c r="K19" s="9"/>
    </row>
    <row r="20" spans="3:11">
      <c r="C20" s="9"/>
      <c r="D20" s="9"/>
      <c r="E20" s="9"/>
      <c r="F20" s="9"/>
      <c r="G20" s="9"/>
      <c r="K20" s="9"/>
    </row>
    <row r="21" spans="3:11">
      <c r="C21" s="9"/>
      <c r="D21" s="9"/>
      <c r="E21" s="9"/>
      <c r="F21" s="9"/>
      <c r="G21" s="9"/>
      <c r="K21" s="9"/>
    </row>
    <row r="22" spans="3:11">
      <c r="C22" s="9"/>
      <c r="D22" s="9"/>
      <c r="E22" s="9"/>
      <c r="F22" s="9"/>
      <c r="G22" s="9"/>
      <c r="K22" s="9"/>
    </row>
    <row r="23" spans="3:11">
      <c r="C23" s="9"/>
      <c r="D23" s="9"/>
      <c r="E23" s="9"/>
      <c r="F23" s="9"/>
      <c r="G23" s="9"/>
      <c r="K23" s="9"/>
    </row>
    <row r="24" spans="3:11">
      <c r="C24" s="9"/>
      <c r="D24" s="9"/>
      <c r="E24" s="9"/>
      <c r="F24" s="9"/>
      <c r="G24" s="9"/>
      <c r="K24" s="9"/>
    </row>
    <row r="25" spans="3:11">
      <c r="C25" s="9"/>
      <c r="D25" s="9"/>
      <c r="E25" s="9"/>
      <c r="F25" s="9"/>
      <c r="G25" s="9"/>
      <c r="K25" s="9"/>
    </row>
    <row r="26" spans="3:11">
      <c r="C26" s="9"/>
      <c r="D26" s="9"/>
      <c r="E26" s="9"/>
      <c r="F26" s="9"/>
      <c r="G26" s="9"/>
      <c r="K26" s="9"/>
    </row>
    <row r="27" spans="3:11">
      <c r="C27" s="9"/>
      <c r="D27" s="9"/>
      <c r="E27" s="9"/>
      <c r="F27" s="9"/>
      <c r="G27" s="9"/>
      <c r="K27" s="9"/>
    </row>
    <row r="28" spans="3:11">
      <c r="C28" s="9"/>
      <c r="D28" s="9"/>
      <c r="E28" s="9"/>
      <c r="F28" s="9"/>
      <c r="G28" s="9"/>
      <c r="K28" s="9"/>
    </row>
    <row r="29" spans="3:11">
      <c r="C29" s="9"/>
      <c r="D29" s="9"/>
      <c r="E29" s="9"/>
      <c r="F29" s="9"/>
      <c r="G29" s="9"/>
      <c r="K29" s="9"/>
    </row>
    <row r="30" spans="3:11">
      <c r="C30" s="9"/>
      <c r="D30" s="9"/>
      <c r="E30" s="9"/>
      <c r="F30" s="9"/>
      <c r="G30" s="9"/>
      <c r="K30" s="9"/>
    </row>
    <row r="31" spans="3:11">
      <c r="C31" s="9"/>
      <c r="D31" s="9"/>
      <c r="E31" s="9"/>
      <c r="F31" s="9"/>
      <c r="G31" s="9"/>
      <c r="K31" s="9"/>
    </row>
    <row r="32" spans="3:11">
      <c r="C32" s="9"/>
      <c r="D32" s="9"/>
      <c r="E32" s="9"/>
      <c r="F32" s="9"/>
      <c r="G32" s="9"/>
      <c r="K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Enum!$H$2:$H$1017</xm:f>
          </x14:formula1>
          <xm:sqref>R3:R7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J16" sqref="J16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5" t="s">
        <v>0</v>
      </c>
      <c r="M1" s="5" t="s">
        <v>1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34</v>
      </c>
      <c r="L2" s="6" t="s">
        <v>11</v>
      </c>
      <c r="M2" s="6" t="s">
        <v>97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66</v>
      </c>
      <c r="H3" t="s">
        <v>63</v>
      </c>
      <c r="I3" s="11" t="s">
        <v>114</v>
      </c>
      <c r="J3" s="11" t="s">
        <v>113</v>
      </c>
      <c r="K3" s="9" t="s">
        <v>172</v>
      </c>
      <c r="L3" t="s">
        <v>11</v>
      </c>
      <c r="M3">
        <v>1</v>
      </c>
    </row>
    <row r="4" spans="1:22">
      <c r="A4" s="7" t="str">
        <f>_xlfn.TEXTJOIN("_",TRUE,B4,C4)</f>
        <v>Item_WoodStaff</v>
      </c>
      <c r="B4" t="s">
        <v>29</v>
      </c>
      <c r="C4" t="s">
        <v>61</v>
      </c>
      <c r="D4" s="9"/>
      <c r="E4" s="9" t="s">
        <v>13</v>
      </c>
      <c r="F4" s="2" t="s">
        <v>24</v>
      </c>
      <c r="G4" t="s">
        <v>66</v>
      </c>
      <c r="H4" t="s">
        <v>64</v>
      </c>
      <c r="I4" s="11" t="s">
        <v>114</v>
      </c>
      <c r="J4" s="11" t="s">
        <v>113</v>
      </c>
      <c r="K4" s="9" t="s">
        <v>172</v>
      </c>
      <c r="L4" t="s">
        <v>11</v>
      </c>
      <c r="M4">
        <v>1</v>
      </c>
    </row>
    <row r="5" spans="1:22">
      <c r="A5" s="7" t="str">
        <f>_xlfn.TEXTJOIN("_",TRUE,B5,C5)</f>
        <v>Item_WoodBow</v>
      </c>
      <c r="B5" t="s">
        <v>29</v>
      </c>
      <c r="C5" t="s">
        <v>62</v>
      </c>
      <c r="D5" s="9"/>
      <c r="E5" s="9" t="s">
        <v>13</v>
      </c>
      <c r="F5" s="2" t="s">
        <v>24</v>
      </c>
      <c r="G5" t="s">
        <v>66</v>
      </c>
      <c r="H5" t="s">
        <v>65</v>
      </c>
      <c r="I5" s="11" t="s">
        <v>114</v>
      </c>
      <c r="J5" s="11" t="s">
        <v>113</v>
      </c>
      <c r="K5" s="9" t="s">
        <v>172</v>
      </c>
      <c r="L5" t="s">
        <v>11</v>
      </c>
      <c r="M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66</v>
      </c>
      <c r="H7" t="s">
        <v>120</v>
      </c>
      <c r="I7" s="11" t="s">
        <v>114</v>
      </c>
      <c r="J7" s="11" t="s">
        <v>113</v>
      </c>
      <c r="K7" s="9" t="s">
        <v>172</v>
      </c>
      <c r="L7" t="s">
        <v>11</v>
      </c>
      <c r="M7">
        <v>1</v>
      </c>
    </row>
    <row r="8" spans="1:22">
      <c r="A8" s="7" t="str">
        <f>_xlfn.TEXTJOIN("_",TRUE,B8,C8)</f>
        <v>Item_Dog</v>
      </c>
      <c r="B8" t="s">
        <v>29</v>
      </c>
      <c r="C8" s="9" t="s">
        <v>75</v>
      </c>
      <c r="D8" s="9"/>
      <c r="E8" s="9" t="s">
        <v>7</v>
      </c>
      <c r="F8" s="9" t="s">
        <v>24</v>
      </c>
      <c r="G8" t="s">
        <v>66</v>
      </c>
      <c r="H8" t="s">
        <v>121</v>
      </c>
      <c r="I8" s="11" t="s">
        <v>114</v>
      </c>
      <c r="J8" s="11" t="s">
        <v>113</v>
      </c>
      <c r="K8" s="9" t="s">
        <v>172</v>
      </c>
      <c r="L8" t="s">
        <v>11</v>
      </c>
      <c r="M8">
        <v>1</v>
      </c>
    </row>
    <row r="9" spans="1:22">
      <c r="A9" s="7" t="str">
        <f>_xlfn.TEXTJOIN("_",TRUE,B9,C9)</f>
        <v>Item_Eagle</v>
      </c>
      <c r="B9" t="s">
        <v>29</v>
      </c>
      <c r="C9" s="9" t="s">
        <v>76</v>
      </c>
      <c r="D9" s="9"/>
      <c r="E9" s="9" t="s">
        <v>7</v>
      </c>
      <c r="F9" s="9" t="s">
        <v>24</v>
      </c>
      <c r="G9" t="s">
        <v>66</v>
      </c>
      <c r="H9" t="s">
        <v>122</v>
      </c>
      <c r="I9" s="11" t="s">
        <v>114</v>
      </c>
      <c r="J9" s="11" t="s">
        <v>113</v>
      </c>
      <c r="K9" s="9" t="s">
        <v>172</v>
      </c>
      <c r="L9" t="s">
        <v>11</v>
      </c>
      <c r="M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77</v>
      </c>
      <c r="D10" s="9"/>
      <c r="E10" s="9" t="s">
        <v>7</v>
      </c>
      <c r="F10" s="9" t="s">
        <v>24</v>
      </c>
      <c r="G10" t="s">
        <v>66</v>
      </c>
      <c r="H10" t="s">
        <v>123</v>
      </c>
      <c r="I10" s="11" t="s">
        <v>114</v>
      </c>
      <c r="J10" s="11" t="s">
        <v>113</v>
      </c>
      <c r="K10" s="9" t="s">
        <v>172</v>
      </c>
      <c r="L10" t="s">
        <v>11</v>
      </c>
      <c r="M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59ECF9-BEB9-264A-A494-976028F5B748}">
          <x14:formula1>
            <xm:f>Enum!$H$2:$H$1017</xm:f>
          </x14:formula1>
          <xm:sqref>P3:P7 K6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59</v>
      </c>
      <c r="C3" s="1" t="s">
        <v>24</v>
      </c>
      <c r="D3" s="1" t="s">
        <v>24</v>
      </c>
      <c r="E3" t="s">
        <v>74</v>
      </c>
      <c r="F3" t="s">
        <v>67</v>
      </c>
    </row>
    <row r="4" spans="1:10">
      <c r="A4" s="7" t="str">
        <f t="shared" si="0"/>
        <v>Grade_Uncommon</v>
      </c>
      <c r="B4" t="s">
        <v>59</v>
      </c>
      <c r="C4" s="1" t="s">
        <v>68</v>
      </c>
      <c r="D4" s="1" t="s">
        <v>68</v>
      </c>
      <c r="E4" t="s">
        <v>74</v>
      </c>
      <c r="F4" t="s">
        <v>69</v>
      </c>
      <c r="I4" s="9"/>
      <c r="J4" s="9"/>
    </row>
    <row r="5" spans="1:10">
      <c r="A5" s="7" t="str">
        <f t="shared" si="0"/>
        <v>Grade_Rare</v>
      </c>
      <c r="B5" t="s">
        <v>59</v>
      </c>
      <c r="C5" s="1" t="s">
        <v>20</v>
      </c>
      <c r="D5" s="1" t="s">
        <v>20</v>
      </c>
      <c r="E5" t="s">
        <v>74</v>
      </c>
      <c r="F5" t="s">
        <v>70</v>
      </c>
      <c r="I5" s="9"/>
      <c r="J5" s="9"/>
    </row>
    <row r="6" spans="1:10">
      <c r="A6" s="7" t="str">
        <f t="shared" si="0"/>
        <v>Grade_Epic</v>
      </c>
      <c r="B6" t="s">
        <v>59</v>
      </c>
      <c r="C6" s="1" t="s">
        <v>21</v>
      </c>
      <c r="D6" s="1" t="s">
        <v>21</v>
      </c>
      <c r="E6" t="s">
        <v>74</v>
      </c>
      <c r="F6" t="s">
        <v>71</v>
      </c>
      <c r="I6" s="9"/>
      <c r="J6" s="9"/>
    </row>
    <row r="7" spans="1:10">
      <c r="A7" s="7" t="str">
        <f t="shared" si="0"/>
        <v>Grade_Unique</v>
      </c>
      <c r="B7" t="s">
        <v>59</v>
      </c>
      <c r="C7" s="1" t="s">
        <v>22</v>
      </c>
      <c r="D7" s="1" t="s">
        <v>22</v>
      </c>
      <c r="E7" t="s">
        <v>74</v>
      </c>
      <c r="F7" t="s">
        <v>72</v>
      </c>
      <c r="I7" s="9"/>
      <c r="J7" s="9"/>
    </row>
    <row r="8" spans="1:10">
      <c r="A8" s="7" t="str">
        <f t="shared" si="0"/>
        <v>Grade_Legend</v>
      </c>
      <c r="B8" t="s">
        <v>59</v>
      </c>
      <c r="C8" s="1" t="s">
        <v>23</v>
      </c>
      <c r="D8" s="1" t="s">
        <v>23</v>
      </c>
      <c r="E8" t="s">
        <v>74</v>
      </c>
      <c r="F8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55</v>
      </c>
      <c r="E2" s="6" t="s">
        <v>56</v>
      </c>
      <c r="F2" s="6" t="s">
        <v>169</v>
      </c>
    </row>
    <row r="3" spans="1:6">
      <c r="A3" s="7" t="str">
        <f>_xlfn.TEXTJOIN("_",TRUE,B3,C3)</f>
        <v>SynergeBiome_Test</v>
      </c>
      <c r="B3" t="s">
        <v>53</v>
      </c>
      <c r="C3" t="s">
        <v>54</v>
      </c>
      <c r="D3" s="9" t="s">
        <v>36</v>
      </c>
      <c r="E3">
        <v>3</v>
      </c>
      <c r="F3" t="s">
        <v>52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56</v>
      </c>
      <c r="F2" s="6" t="s">
        <v>169</v>
      </c>
    </row>
    <row r="3" spans="1:6">
      <c r="A3" s="7" t="str">
        <f>_xlfn.TEXTJOIN("_",TRUE,B3,C3)</f>
        <v>SynergeElement_Test</v>
      </c>
      <c r="B3" t="s">
        <v>57</v>
      </c>
      <c r="C3" t="s">
        <v>54</v>
      </c>
      <c r="D3" s="9" t="s">
        <v>45</v>
      </c>
      <c r="E3">
        <v>1</v>
      </c>
      <c r="F3" t="s">
        <v>170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19"/>
  <sheetViews>
    <sheetView tabSelected="1" workbookViewId="0">
      <selection activeCell="D16" sqref="D16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2.140625" bestFit="1" customWidth="1"/>
    <col min="10" max="10" width="19.28515625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173</v>
      </c>
      <c r="H1" s="19" t="s">
        <v>78</v>
      </c>
      <c r="I1" s="8" t="s">
        <v>0</v>
      </c>
      <c r="J1" s="8" t="s">
        <v>0</v>
      </c>
      <c r="K1" s="5" t="s">
        <v>125</v>
      </c>
      <c r="L1" s="5" t="s">
        <v>9</v>
      </c>
      <c r="M1" s="8" t="s">
        <v>127</v>
      </c>
      <c r="N1" s="5" t="s">
        <v>9</v>
      </c>
      <c r="O1" s="8" t="s">
        <v>131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174</v>
      </c>
      <c r="H2" s="19" t="s">
        <v>142</v>
      </c>
      <c r="I2" s="8" t="s">
        <v>32</v>
      </c>
      <c r="J2" s="8" t="s">
        <v>33</v>
      </c>
      <c r="K2" s="6" t="s">
        <v>144</v>
      </c>
      <c r="L2" s="6" t="s">
        <v>139</v>
      </c>
      <c r="M2" s="8" t="s">
        <v>128</v>
      </c>
      <c r="N2" s="8" t="s">
        <v>140</v>
      </c>
      <c r="O2" s="8" t="s">
        <v>132</v>
      </c>
      <c r="P2" s="8" t="s">
        <v>141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154</v>
      </c>
      <c r="K3" s="9"/>
      <c r="L3" s="2" t="s">
        <v>137</v>
      </c>
      <c r="N3" s="2" t="s">
        <v>137</v>
      </c>
      <c r="O3" s="11"/>
      <c r="P3" s="2" t="s">
        <v>137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152</v>
      </c>
      <c r="S5" s="13"/>
      <c r="T5" s="1"/>
    </row>
    <row r="6" spans="1:32">
      <c r="A6" s="7" t="s">
        <v>152</v>
      </c>
      <c r="S6" s="13"/>
      <c r="T6" s="1"/>
    </row>
    <row r="7" spans="1:32">
      <c r="A7" s="7" t="str">
        <f>_xlfn.TEXTJOIN("_",TRUE,B7:F7)</f>
        <v>Skill_Human_Projectile_1</v>
      </c>
      <c r="B7" t="s">
        <v>26</v>
      </c>
      <c r="C7" t="s">
        <v>49</v>
      </c>
      <c r="D7" s="9" t="s">
        <v>124</v>
      </c>
      <c r="E7" s="9">
        <v>1</v>
      </c>
      <c r="F7" s="9"/>
      <c r="G7" s="9">
        <v>1</v>
      </c>
      <c r="H7" s="9">
        <v>10</v>
      </c>
      <c r="I7" t="s">
        <v>66</v>
      </c>
      <c r="J7" t="s">
        <v>64</v>
      </c>
      <c r="K7" s="9" t="s">
        <v>126</v>
      </c>
      <c r="L7" s="2"/>
      <c r="M7" t="s">
        <v>27</v>
      </c>
      <c r="O7" s="11" t="s">
        <v>124</v>
      </c>
      <c r="P7" s="11" t="s">
        <v>147</v>
      </c>
      <c r="S7" s="13"/>
      <c r="T7" s="1"/>
    </row>
    <row r="8" spans="1:32">
      <c r="A8" s="7" t="s">
        <v>2</v>
      </c>
      <c r="S8" s="13"/>
      <c r="T8" s="1"/>
    </row>
    <row r="9" spans="1:32">
      <c r="A9" s="7" t="s">
        <v>153</v>
      </c>
      <c r="S9" s="13"/>
      <c r="T9" s="1"/>
    </row>
    <row r="10" spans="1:32">
      <c r="A10" s="7" t="s">
        <v>153</v>
      </c>
    </row>
    <row r="11" spans="1:32">
      <c r="A11" s="7" t="str">
        <f>_xlfn.TEXTJOIN("_",TRUE,B11:F11)</f>
        <v>Skill_Projectile_Hit_1</v>
      </c>
      <c r="B11" t="s">
        <v>26</v>
      </c>
      <c r="C11" t="s">
        <v>124</v>
      </c>
      <c r="D11" s="9" t="s">
        <v>138</v>
      </c>
      <c r="E11" s="9">
        <v>1</v>
      </c>
      <c r="F11" s="9"/>
      <c r="G11" s="9">
        <v>0</v>
      </c>
      <c r="H11" s="9">
        <v>1</v>
      </c>
      <c r="I11" t="s">
        <v>66</v>
      </c>
      <c r="J11" t="s">
        <v>65</v>
      </c>
      <c r="K11" s="9" t="s">
        <v>126</v>
      </c>
      <c r="L11" s="2"/>
      <c r="M11" t="s">
        <v>129</v>
      </c>
      <c r="N11">
        <v>0.6</v>
      </c>
      <c r="O11" s="11" t="s">
        <v>133</v>
      </c>
      <c r="P11" s="11" t="s">
        <v>189</v>
      </c>
    </row>
    <row r="12" spans="1:32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143</v>
      </c>
      <c r="E12" s="9">
        <v>1</v>
      </c>
      <c r="F12" s="9"/>
      <c r="G12" s="9">
        <v>1</v>
      </c>
      <c r="H12" s="9">
        <v>1</v>
      </c>
      <c r="I12" t="s">
        <v>66</v>
      </c>
      <c r="J12" t="s">
        <v>64</v>
      </c>
      <c r="K12" s="9" t="s">
        <v>126</v>
      </c>
      <c r="M12" t="s">
        <v>129</v>
      </c>
      <c r="N12">
        <v>0.1</v>
      </c>
      <c r="O12" s="11" t="s">
        <v>133</v>
      </c>
      <c r="P12" s="11" t="s">
        <v>189</v>
      </c>
    </row>
    <row r="13" spans="1:32">
      <c r="A13" s="7" t="s">
        <v>2</v>
      </c>
    </row>
    <row r="14" spans="1:32">
      <c r="A14" s="7" t="s">
        <v>155</v>
      </c>
    </row>
    <row r="15" spans="1:32">
      <c r="A15" s="7" t="s">
        <v>155</v>
      </c>
    </row>
    <row r="16" spans="1:32">
      <c r="A16" s="7" t="str">
        <f>_xlfn.TEXTJOIN("_",TRUE,B16:F16)</f>
        <v>Skill_Stat_1</v>
      </c>
      <c r="B16" t="s">
        <v>26</v>
      </c>
      <c r="C16" t="s">
        <v>160</v>
      </c>
      <c r="D16" s="9"/>
      <c r="E16" s="9">
        <v>1</v>
      </c>
      <c r="F16" s="9"/>
      <c r="G16" s="9">
        <v>0</v>
      </c>
      <c r="H16" s="9">
        <v>1</v>
      </c>
      <c r="I16" t="s">
        <v>66</v>
      </c>
      <c r="J16" t="s">
        <v>65</v>
      </c>
      <c r="K16" s="9" t="s">
        <v>126</v>
      </c>
      <c r="L16" s="2"/>
      <c r="M16" t="s">
        <v>130</v>
      </c>
      <c r="N16">
        <v>0.1</v>
      </c>
      <c r="O16" s="11" t="s">
        <v>161</v>
      </c>
      <c r="P16" s="11" t="s">
        <v>162</v>
      </c>
    </row>
    <row r="18" spans="1:16">
      <c r="A18" s="19" t="s">
        <v>2</v>
      </c>
    </row>
    <row r="19" spans="1:16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171</v>
      </c>
      <c r="E19" s="9">
        <v>1</v>
      </c>
      <c r="F19" s="9"/>
      <c r="G19" s="9">
        <v>0</v>
      </c>
      <c r="H19" s="9">
        <v>1</v>
      </c>
      <c r="I19" t="s">
        <v>66</v>
      </c>
      <c r="J19" t="s">
        <v>65</v>
      </c>
      <c r="K19" s="9" t="s">
        <v>126</v>
      </c>
      <c r="L19" s="2"/>
      <c r="M19" t="s">
        <v>130</v>
      </c>
      <c r="N19">
        <v>0.1</v>
      </c>
      <c r="O19" s="11" t="s">
        <v>171</v>
      </c>
      <c r="P19" s="11" t="s">
        <v>170</v>
      </c>
    </row>
  </sheetData>
  <phoneticPr fontId="1" type="noConversion"/>
  <dataValidations disablePrompts="1" count="1">
    <dataValidation type="list" allowBlank="1" showInputMessage="1" showErrorMessage="1" sqref="L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J5" sqref="J5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78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166</v>
      </c>
      <c r="L1" s="5" t="s">
        <v>9</v>
      </c>
    </row>
    <row r="2" spans="1:12">
      <c r="A2" s="7"/>
      <c r="B2" s="8"/>
      <c r="C2" s="6"/>
      <c r="D2" s="6"/>
      <c r="E2" s="6"/>
      <c r="F2" s="6" t="s">
        <v>150</v>
      </c>
      <c r="G2" s="6" t="s">
        <v>10</v>
      </c>
      <c r="H2" s="6" t="s">
        <v>151</v>
      </c>
      <c r="I2" s="6" t="s">
        <v>32</v>
      </c>
      <c r="J2" s="6" t="s">
        <v>33</v>
      </c>
      <c r="K2" s="19" t="s">
        <v>167</v>
      </c>
      <c r="L2" s="6" t="s">
        <v>168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115</v>
      </c>
      <c r="J3" s="9" t="s">
        <v>116</v>
      </c>
      <c r="K3" s="1" t="s">
        <v>163</v>
      </c>
      <c r="L3" t="s">
        <v>162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148</v>
      </c>
      <c r="E2" s="6" t="s">
        <v>32</v>
      </c>
      <c r="F2" s="6" t="s">
        <v>81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124</v>
      </c>
      <c r="C3" s="9" t="s">
        <v>49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2026-04-07T16:52:28Z</dcterms:modified>
</cp:coreProperties>
</file>