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y\Project\FactoryProject\Generated\"/>
    </mc:Choice>
  </mc:AlternateContent>
  <xr:revisionPtr revIDLastSave="0" documentId="13_ncr:1_{251E54E1-BC48-4B90-8A2E-BCC711D3D088}" xr6:coauthVersionLast="36" xr6:coauthVersionMax="47" xr10:uidLastSave="{00000000-0000-0000-0000-000000000000}"/>
  <bookViews>
    <workbookView xWindow="51200" yWindow="500" windowWidth="51200" windowHeight="26600" activeTab="10" xr2:uid="{940BCB5D-19EC-984D-9BAE-40F19189B649}"/>
  </bookViews>
  <sheets>
    <sheet name="Enum" sheetId="2" r:id="rId1"/>
    <sheet name="Localization" sheetId="8" r:id="rId2"/>
    <sheet name="Spawner" sheetId="23" r:id="rId3"/>
    <sheet name="Player" sheetId="4" r:id="rId4"/>
    <sheet name="Item" sheetId="19" r:id="rId5"/>
    <sheet name="FactionRelation" sheetId="24" r:id="rId6"/>
    <sheet name="Grade" sheetId="22" r:id="rId7"/>
    <sheet name="SynergeBiome" sheetId="20" r:id="rId8"/>
    <sheet name="SynergeElement" sheetId="21" r:id="rId9"/>
    <sheet name="Skill" sheetId="27" r:id="rId10"/>
    <sheet name="Buff" sheetId="29" r:id="rId11"/>
    <sheet name="Projectile" sheetId="28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27" l="1"/>
  <c r="A12" i="27"/>
  <c r="A11" i="27"/>
  <c r="A7" i="27"/>
  <c r="A3" i="29" l="1"/>
  <c r="A3" i="28"/>
  <c r="J6" i="24"/>
  <c r="J5" i="24"/>
  <c r="J4" i="24"/>
  <c r="J3" i="24"/>
  <c r="A6" i="24"/>
  <c r="A5" i="24"/>
  <c r="A4" i="24"/>
  <c r="A3" i="24"/>
  <c r="A10" i="19"/>
  <c r="A9" i="19"/>
  <c r="A8" i="19"/>
  <c r="A3" i="23"/>
  <c r="A7" i="19"/>
  <c r="A6" i="4"/>
  <c r="A5" i="4"/>
  <c r="A4" i="4"/>
  <c r="A5" i="22"/>
  <c r="A6" i="22"/>
  <c r="A7" i="22"/>
  <c r="A8" i="22"/>
  <c r="A3" i="19"/>
  <c r="A5" i="19"/>
  <c r="A4" i="19"/>
  <c r="A4" i="22"/>
  <c r="A3" i="22"/>
  <c r="A3" i="21"/>
  <c r="A7" i="20"/>
  <c r="A3" i="20"/>
  <c r="A3" i="4"/>
</calcChain>
</file>

<file path=xl/sharedStrings.xml><?xml version="1.0" encoding="utf-8"?>
<sst xmlns="http://schemas.openxmlformats.org/spreadsheetml/2006/main" count="495" uniqueCount="172">
  <si>
    <t>string</t>
    <phoneticPr fontId="1" type="noConversion"/>
  </si>
  <si>
    <t>int</t>
    <phoneticPr fontId="1" type="noConversion"/>
  </si>
  <si>
    <t>//</t>
    <phoneticPr fontId="1" type="noConversion"/>
  </si>
  <si>
    <t>StatType</t>
    <phoneticPr fontId="1" type="noConversion"/>
  </si>
  <si>
    <t>Str</t>
    <phoneticPr fontId="1" type="noConversion"/>
  </si>
  <si>
    <t>Int</t>
    <phoneticPr fontId="1" type="noConversion"/>
  </si>
  <si>
    <t>Dex</t>
    <phoneticPr fontId="1" type="noConversion"/>
  </si>
  <si>
    <t>Player</t>
    <phoneticPr fontId="1" type="noConversion"/>
  </si>
  <si>
    <t>Buff</t>
    <phoneticPr fontId="1" type="noConversion"/>
  </si>
  <si>
    <t>List&lt;string&gt;</t>
    <phoneticPr fontId="1" type="noConversion"/>
  </si>
  <si>
    <t>level</t>
    <phoneticPr fontId="1" type="noConversion"/>
  </si>
  <si>
    <t>description</t>
    <phoneticPr fontId="1" type="noConversion"/>
  </si>
  <si>
    <t>Armor</t>
    <phoneticPr fontId="1" type="noConversion"/>
  </si>
  <si>
    <t>Weapon</t>
    <phoneticPr fontId="1" type="noConversion"/>
  </si>
  <si>
    <t>Accessory</t>
    <phoneticPr fontId="1" type="noConversion"/>
  </si>
  <si>
    <t>List&lt;StatType&gt;</t>
    <phoneticPr fontId="1" type="noConversion"/>
  </si>
  <si>
    <t>statTypes</t>
    <phoneticPr fontId="1" type="noConversion"/>
  </si>
  <si>
    <t>List&lt;int&gt;</t>
    <phoneticPr fontId="1" type="noConversion"/>
  </si>
  <si>
    <t>statValues</t>
    <phoneticPr fontId="1" type="noConversion"/>
  </si>
  <si>
    <t>GradeType</t>
    <phoneticPr fontId="1" type="noConversion"/>
  </si>
  <si>
    <t>Rare</t>
    <phoneticPr fontId="1" type="noConversion"/>
  </si>
  <si>
    <t>Epic</t>
    <phoneticPr fontId="1" type="noConversion"/>
  </si>
  <si>
    <t>Unique</t>
    <phoneticPr fontId="1" type="noConversion"/>
  </si>
  <si>
    <t>Legend</t>
    <phoneticPr fontId="1" type="noConversion"/>
  </si>
  <si>
    <t>Common</t>
    <phoneticPr fontId="1" type="noConversion"/>
  </si>
  <si>
    <t>gradeType</t>
    <phoneticPr fontId="1" type="noConversion"/>
  </si>
  <si>
    <t>Skill</t>
    <phoneticPr fontId="1" type="noConversion"/>
  </si>
  <si>
    <t>None</t>
    <phoneticPr fontId="1" type="noConversion"/>
  </si>
  <si>
    <t>ItemType</t>
    <phoneticPr fontId="1" type="noConversion"/>
  </si>
  <si>
    <t>Item</t>
    <phoneticPr fontId="1" type="noConversion"/>
  </si>
  <si>
    <t>itemType</t>
    <phoneticPr fontId="1" type="noConversion"/>
  </si>
  <si>
    <t>string</t>
  </si>
  <si>
    <t>iconAtlasPath</t>
    <phoneticPr fontId="1" type="noConversion"/>
  </si>
  <si>
    <t>iconSpritePath</t>
    <phoneticPr fontId="1" type="noConversion"/>
  </si>
  <si>
    <t>uniqueSkillKey</t>
    <phoneticPr fontId="1" type="noConversion"/>
  </si>
  <si>
    <t>BiomeType</t>
    <phoneticPr fontId="1" type="noConversion"/>
  </si>
  <si>
    <t>Desert</t>
    <phoneticPr fontId="1" type="noConversion"/>
  </si>
  <si>
    <t>Grassland</t>
    <phoneticPr fontId="1" type="noConversion"/>
  </si>
  <si>
    <t>Forest</t>
    <phoneticPr fontId="1" type="noConversion"/>
  </si>
  <si>
    <t>Tundra</t>
    <phoneticPr fontId="1" type="noConversion"/>
  </si>
  <si>
    <t>Mangrove</t>
    <phoneticPr fontId="1" type="noConversion"/>
  </si>
  <si>
    <t>Ocean</t>
    <phoneticPr fontId="1" type="noConversion"/>
  </si>
  <si>
    <t>Volcanic</t>
    <phoneticPr fontId="1" type="noConversion"/>
  </si>
  <si>
    <t>Ice</t>
    <phoneticPr fontId="1" type="noConversion"/>
  </si>
  <si>
    <t>ElementType</t>
    <phoneticPr fontId="1" type="noConversion"/>
  </si>
  <si>
    <t>Fire</t>
    <phoneticPr fontId="1" type="noConversion"/>
  </si>
  <si>
    <t>Water</t>
    <phoneticPr fontId="1" type="noConversion"/>
  </si>
  <si>
    <t>Wind</t>
    <phoneticPr fontId="1" type="noConversion"/>
  </si>
  <si>
    <t>Earth</t>
    <phoneticPr fontId="1" type="noConversion"/>
  </si>
  <si>
    <t>Human</t>
    <phoneticPr fontId="1" type="noConversion"/>
  </si>
  <si>
    <t>Gold</t>
    <phoneticPr fontId="1" type="noConversion"/>
  </si>
  <si>
    <t>WoodSword</t>
    <phoneticPr fontId="1" type="noConversion"/>
  </si>
  <si>
    <t>attackSkillKey</t>
    <phoneticPr fontId="1" type="noConversion"/>
  </si>
  <si>
    <t>none</t>
    <phoneticPr fontId="1" type="noConversion"/>
  </si>
  <si>
    <t>SynergeBiome</t>
    <phoneticPr fontId="1" type="noConversion"/>
  </si>
  <si>
    <t>Test</t>
    <phoneticPr fontId="1" type="noConversion"/>
  </si>
  <si>
    <t>biomeType</t>
    <phoneticPr fontId="1" type="noConversion"/>
  </si>
  <si>
    <t>needCount</t>
    <phoneticPr fontId="1" type="noConversion"/>
  </si>
  <si>
    <t>synergeSkillKey</t>
    <phoneticPr fontId="1" type="noConversion"/>
  </si>
  <si>
    <t>SynergeElement</t>
    <phoneticPr fontId="1" type="noConversion"/>
  </si>
  <si>
    <t>elementType</t>
    <phoneticPr fontId="1" type="noConversion"/>
  </si>
  <si>
    <t>Grade</t>
    <phoneticPr fontId="1" type="noConversion"/>
  </si>
  <si>
    <t>description</t>
  </si>
  <si>
    <t>WoodStaff</t>
    <phoneticPr fontId="1" type="noConversion"/>
  </si>
  <si>
    <t>WoodBow</t>
    <phoneticPr fontId="1" type="noConversion"/>
  </si>
  <si>
    <t>icon_item_woodsword</t>
    <phoneticPr fontId="1" type="noConversion"/>
  </si>
  <si>
    <t>icon_item_woodstaff</t>
    <phoneticPr fontId="1" type="noConversion"/>
  </si>
  <si>
    <t>icon_item_woodbow</t>
    <phoneticPr fontId="1" type="noConversion"/>
  </si>
  <si>
    <t>Item/icon_item</t>
    <phoneticPr fontId="1" type="noConversion"/>
  </si>
  <si>
    <t>icon_grade_common</t>
    <phoneticPr fontId="1" type="noConversion"/>
  </si>
  <si>
    <t>Uncommon</t>
    <phoneticPr fontId="1" type="noConversion"/>
  </si>
  <si>
    <t>icon_grade_uncommon</t>
    <phoneticPr fontId="1" type="noConversion"/>
  </si>
  <si>
    <t>icon_grade_rare</t>
    <phoneticPr fontId="1" type="noConversion"/>
  </si>
  <si>
    <t>icon_grade_epic</t>
    <phoneticPr fontId="1" type="noConversion"/>
  </si>
  <si>
    <t>icon_grade_unique</t>
    <phoneticPr fontId="1" type="noConversion"/>
  </si>
  <si>
    <t>icon_grade_legend</t>
    <phoneticPr fontId="1" type="noConversion"/>
  </si>
  <si>
    <t>Grade/icon_grade</t>
    <phoneticPr fontId="1" type="noConversion"/>
  </si>
  <si>
    <t>Dog</t>
    <phoneticPr fontId="1" type="noConversion"/>
  </si>
  <si>
    <t>Eagle</t>
    <phoneticPr fontId="1" type="noConversion"/>
  </si>
  <si>
    <t>Snake</t>
    <phoneticPr fontId="1" type="noConversion"/>
  </si>
  <si>
    <t>float</t>
    <phoneticPr fontId="1" type="noConversion"/>
  </si>
  <si>
    <t>dropPlayerKey</t>
    <phoneticPr fontId="1" type="noConversion"/>
  </si>
  <si>
    <t>dropPlayerPercent</t>
    <phoneticPr fontId="1" type="noConversion"/>
  </si>
  <si>
    <t>prefabPath</t>
    <phoneticPr fontId="1" type="noConversion"/>
  </si>
  <si>
    <t>Player/Human</t>
    <phoneticPr fontId="1" type="noConversion"/>
  </si>
  <si>
    <t>Player/Dog</t>
    <phoneticPr fontId="1" type="noConversion"/>
  </si>
  <si>
    <t>Player/Eagle</t>
    <phoneticPr fontId="1" type="noConversion"/>
  </si>
  <si>
    <t>Player/Snake</t>
    <phoneticPr fontId="1" type="noConversion"/>
  </si>
  <si>
    <t>Item_Human</t>
    <phoneticPr fontId="1" type="noConversion"/>
  </si>
  <si>
    <t>Item_Dog</t>
    <phoneticPr fontId="1" type="noConversion"/>
  </si>
  <si>
    <t>Item_Eagle</t>
    <phoneticPr fontId="1" type="noConversion"/>
  </si>
  <si>
    <t>Item_Snake</t>
    <phoneticPr fontId="1" type="noConversion"/>
  </si>
  <si>
    <t>Spawner</t>
    <phoneticPr fontId="1" type="noConversion"/>
  </si>
  <si>
    <t>List&lt;float&gt;</t>
    <phoneticPr fontId="1" type="noConversion"/>
  </si>
  <si>
    <t>spawnPlayerKey</t>
    <phoneticPr fontId="1" type="noConversion"/>
  </si>
  <si>
    <t>spawnPercent</t>
    <phoneticPr fontId="1" type="noConversion"/>
  </si>
  <si>
    <t>Player_Eagle,Player_Dog</t>
    <phoneticPr fontId="1" type="noConversion"/>
  </si>
  <si>
    <t>Spawner/SpawnerTest</t>
    <phoneticPr fontId="1" type="noConversion"/>
  </si>
  <si>
    <t>tick</t>
    <phoneticPr fontId="1" type="noConversion"/>
  </si>
  <si>
    <t>maxAmount</t>
    <phoneticPr fontId="1" type="noConversion"/>
  </si>
  <si>
    <t>FactionRelationType</t>
    <phoneticPr fontId="1" type="noConversion"/>
  </si>
  <si>
    <t>FactionType</t>
    <phoneticPr fontId="1" type="noConversion"/>
  </si>
  <si>
    <t>Faction3</t>
    <phoneticPr fontId="1" type="noConversion"/>
  </si>
  <si>
    <t>Faction4</t>
    <phoneticPr fontId="1" type="noConversion"/>
  </si>
  <si>
    <t>Faction2</t>
    <phoneticPr fontId="1" type="noConversion"/>
  </si>
  <si>
    <t>Hostile</t>
    <phoneticPr fontId="1" type="noConversion"/>
  </si>
  <si>
    <t>Neutral</t>
    <phoneticPr fontId="1" type="noConversion"/>
  </si>
  <si>
    <t>Friendly</t>
    <phoneticPr fontId="1" type="noConversion"/>
  </si>
  <si>
    <t>factionTypes</t>
    <phoneticPr fontId="1" type="noConversion"/>
  </si>
  <si>
    <t>FactionRelation</t>
    <phoneticPr fontId="1" type="noConversion"/>
  </si>
  <si>
    <t>List&lt;FactionRelationType&gt;</t>
    <phoneticPr fontId="1" type="noConversion"/>
  </si>
  <si>
    <t>factionType</t>
    <phoneticPr fontId="1" type="noConversion"/>
  </si>
  <si>
    <t>Hero</t>
    <phoneticPr fontId="1" type="noConversion"/>
  </si>
  <si>
    <t>Physical</t>
    <phoneticPr fontId="1" type="noConversion"/>
  </si>
  <si>
    <t>Magical</t>
    <phoneticPr fontId="1" type="noConversion"/>
  </si>
  <si>
    <t>1,1,1,1,1</t>
    <phoneticPr fontId="1" type="noConversion"/>
  </si>
  <si>
    <t>Str,Dex,Int,Physical,Magical</t>
    <phoneticPr fontId="1" type="noConversion"/>
  </si>
  <si>
    <t>Player/icon_player</t>
    <phoneticPr fontId="1" type="noConversion"/>
  </si>
  <si>
    <t>sprite_char_human</t>
    <phoneticPr fontId="1" type="noConversion"/>
  </si>
  <si>
    <t>sprite_char_dog</t>
    <phoneticPr fontId="1" type="noConversion"/>
  </si>
  <si>
    <t>sprite_char_eagle</t>
    <phoneticPr fontId="1" type="noConversion"/>
  </si>
  <si>
    <t>sprite_char_snake</t>
    <phoneticPr fontId="1" type="noConversion"/>
  </si>
  <si>
    <t>icon_item_human</t>
    <phoneticPr fontId="1" type="noConversion"/>
  </si>
  <si>
    <t>icon_item_dog</t>
    <phoneticPr fontId="1" type="noConversion"/>
  </si>
  <si>
    <t>icon_item_eagle</t>
    <phoneticPr fontId="1" type="noConversion"/>
  </si>
  <si>
    <t>icon_item_snake</t>
    <phoneticPr fontId="1" type="noConversion"/>
  </si>
  <si>
    <t>Projectile</t>
    <phoneticPr fontId="1" type="noConversion"/>
  </si>
  <si>
    <t>SkillTimeType</t>
    <phoneticPr fontId="1" type="noConversion"/>
  </si>
  <si>
    <t>Instance</t>
    <phoneticPr fontId="1" type="noConversion"/>
  </si>
  <si>
    <t>SkillAreaType</t>
    <phoneticPr fontId="1" type="noConversion"/>
  </si>
  <si>
    <t>skillAreaType</t>
    <phoneticPr fontId="1" type="noConversion"/>
  </si>
  <si>
    <t>Circle</t>
  </si>
  <si>
    <t>Circle</t>
    <phoneticPr fontId="1" type="noConversion"/>
  </si>
  <si>
    <t>SkillActionType</t>
    <phoneticPr fontId="1" type="noConversion"/>
  </si>
  <si>
    <t>skillActionType</t>
    <phoneticPr fontId="1" type="noConversion"/>
  </si>
  <si>
    <t>Damage</t>
    <phoneticPr fontId="1" type="noConversion"/>
  </si>
  <si>
    <t>Tick</t>
    <phoneticPr fontId="1" type="noConversion"/>
  </si>
  <si>
    <t>Casting</t>
    <phoneticPr fontId="1" type="noConversion"/>
  </si>
  <si>
    <t>UseSkill</t>
    <phoneticPr fontId="1" type="noConversion"/>
  </si>
  <si>
    <t>타입별 읽기</t>
    <phoneticPr fontId="1" type="noConversion"/>
  </si>
  <si>
    <t>Hit</t>
    <phoneticPr fontId="1" type="noConversion"/>
  </si>
  <si>
    <t>skillTimeParam</t>
    <phoneticPr fontId="1" type="noConversion"/>
  </si>
  <si>
    <t>skillAreaParam</t>
    <phoneticPr fontId="1" type="noConversion"/>
  </si>
  <si>
    <t>skillActionParam</t>
    <phoneticPr fontId="1" type="noConversion"/>
  </si>
  <si>
    <t>range</t>
    <phoneticPr fontId="1" type="noConversion"/>
  </si>
  <si>
    <t>MeleeAttack</t>
    <phoneticPr fontId="1" type="noConversion"/>
  </si>
  <si>
    <t>skillTimeType</t>
    <phoneticPr fontId="1" type="noConversion"/>
  </si>
  <si>
    <t>Projectile/HumanProjectile</t>
    <phoneticPr fontId="1" type="noConversion"/>
  </si>
  <si>
    <t>Skill_Projectile_Hit_1</t>
  </si>
  <si>
    <t>3,5,Projectile_Human</t>
    <phoneticPr fontId="1" type="noConversion"/>
  </si>
  <si>
    <t>collisionCount</t>
    <phoneticPr fontId="1" type="noConversion"/>
  </si>
  <si>
    <t>Skill_Human_Projectile_1</t>
    <phoneticPr fontId="1" type="noConversion"/>
  </si>
  <si>
    <t>duration</t>
    <phoneticPr fontId="1" type="noConversion"/>
  </si>
  <si>
    <t>maxStack</t>
    <phoneticPr fontId="1" type="noConversion"/>
  </si>
  <si>
    <t>// Projectile Example</t>
    <phoneticPr fontId="1" type="noConversion"/>
  </si>
  <si>
    <t>// Attack Example</t>
    <phoneticPr fontId="1" type="noConversion"/>
  </si>
  <si>
    <t>스킬 사용 가능 범위</t>
    <phoneticPr fontId="1" type="noConversion"/>
  </si>
  <si>
    <t>// Stat Example</t>
    <phoneticPr fontId="1" type="noConversion"/>
  </si>
  <si>
    <t>BiomeType</t>
    <phoneticPr fontId="1" type="noConversion"/>
  </si>
  <si>
    <t>biomeType</t>
    <phoneticPr fontId="1" type="noConversion"/>
  </si>
  <si>
    <t>ElementType</t>
    <phoneticPr fontId="1" type="noConversion"/>
  </si>
  <si>
    <t>elementType</t>
    <phoneticPr fontId="1" type="noConversion"/>
  </si>
  <si>
    <t>Stat</t>
    <phoneticPr fontId="1" type="noConversion"/>
  </si>
  <si>
    <t>ApplyStat</t>
    <phoneticPr fontId="1" type="noConversion"/>
  </si>
  <si>
    <t>Str,5</t>
    <phoneticPr fontId="1" type="noConversion"/>
  </si>
  <si>
    <t>BuffActionType</t>
    <phoneticPr fontId="1" type="noConversion"/>
  </si>
  <si>
    <t>StatModifier</t>
    <phoneticPr fontId="1" type="noConversion"/>
  </si>
  <si>
    <t>GrantSkill</t>
    <phoneticPr fontId="1" type="noConversion"/>
  </si>
  <si>
    <t>UseSkillOnEnd</t>
    <phoneticPr fontId="1" type="noConversion"/>
  </si>
  <si>
    <t>BuffEffectType</t>
    <phoneticPr fontId="1" type="noConversion"/>
  </si>
  <si>
    <t>buffEffectType</t>
    <phoneticPr fontId="1" type="noConversion"/>
  </si>
  <si>
    <t>buffEffectParam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</si>
</sst>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 style="thin">
        <color theme="0" tint="-0.249977111117893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5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2" fillId="3" borderId="6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0" xfId="0" applyFont="1" applyAlignment="1"/>
    <xf numFmtId="0" fontId="0" fillId="2" borderId="4" xfId="0" applyFill="1" applyBorder="1">
      <alignment vertical="center"/>
    </xf>
    <xf numFmtId="0" fontId="2" fillId="3" borderId="8" xfId="0" applyFont="1" applyFill="1" applyBorder="1">
      <alignment vertical="center"/>
    </xf>
    <xf numFmtId="0" fontId="2" fillId="3" borderId="9" xfId="0" applyFont="1" applyFill="1" applyBorder="1">
      <alignment vertical="center"/>
    </xf>
    <xf numFmtId="3" fontId="0" fillId="0" borderId="0" xfId="0" applyNumberFormat="1" applyAlignment="1">
      <alignment horizontal="left" vertical="center"/>
    </xf>
    <xf numFmtId="0" fontId="2" fillId="3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E1AA-8A06-FD4D-90BD-9F8B147AB8E0}">
  <dimension ref="A1:S69"/>
  <sheetViews>
    <sheetView topLeftCell="A31" workbookViewId="0">
      <selection activeCell="E45" sqref="E45"/>
    </sheetView>
  </sheetViews>
  <sheetFormatPr defaultColWidth="11.15234375" defaultRowHeight="17.5" x14ac:dyDescent="0.45"/>
  <cols>
    <col min="2" max="2" width="13.69140625" bestFit="1" customWidth="1"/>
    <col min="3" max="3" width="15.3828125" bestFit="1" customWidth="1"/>
  </cols>
  <sheetData>
    <row r="1" spans="1:19" x14ac:dyDescent="0.45">
      <c r="A1" s="1">
        <v>1</v>
      </c>
      <c r="B1" s="1" t="s">
        <v>3</v>
      </c>
      <c r="C1" s="1" t="s">
        <v>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45">
      <c r="A2" s="1">
        <v>2</v>
      </c>
      <c r="B2" s="1" t="s">
        <v>3</v>
      </c>
      <c r="C2" s="1" t="s">
        <v>5</v>
      </c>
    </row>
    <row r="3" spans="1:19" x14ac:dyDescent="0.45">
      <c r="A3" s="1">
        <v>3</v>
      </c>
      <c r="B3" s="1" t="s">
        <v>3</v>
      </c>
      <c r="C3" s="1" t="s">
        <v>6</v>
      </c>
    </row>
    <row r="4" spans="1:19" x14ac:dyDescent="0.45">
      <c r="A4" s="1">
        <v>4</v>
      </c>
      <c r="B4" s="1" t="s">
        <v>3</v>
      </c>
      <c r="C4" s="1" t="s">
        <v>113</v>
      </c>
    </row>
    <row r="5" spans="1:19" x14ac:dyDescent="0.45">
      <c r="A5" s="1">
        <v>5</v>
      </c>
      <c r="B5" s="1" t="s">
        <v>3</v>
      </c>
      <c r="C5" s="1" t="s">
        <v>114</v>
      </c>
    </row>
    <row r="6" spans="1:19" x14ac:dyDescent="0.45">
      <c r="A6" s="1">
        <v>1</v>
      </c>
      <c r="B6" s="13" t="s">
        <v>19</v>
      </c>
      <c r="C6" s="1" t="s">
        <v>24</v>
      </c>
    </row>
    <row r="7" spans="1:19" x14ac:dyDescent="0.45">
      <c r="A7" s="1">
        <v>2</v>
      </c>
      <c r="B7" s="13" t="s">
        <v>19</v>
      </c>
      <c r="C7" s="1" t="s">
        <v>70</v>
      </c>
    </row>
    <row r="8" spans="1:19" x14ac:dyDescent="0.45">
      <c r="A8" s="1">
        <v>3</v>
      </c>
      <c r="B8" s="13" t="s">
        <v>19</v>
      </c>
      <c r="C8" s="1" t="s">
        <v>20</v>
      </c>
    </row>
    <row r="9" spans="1:19" x14ac:dyDescent="0.45">
      <c r="A9" s="1">
        <v>4</v>
      </c>
      <c r="B9" s="13" t="s">
        <v>19</v>
      </c>
      <c r="C9" s="1" t="s">
        <v>21</v>
      </c>
    </row>
    <row r="10" spans="1:19" x14ac:dyDescent="0.45">
      <c r="A10" s="1">
        <v>5</v>
      </c>
      <c r="B10" s="13" t="s">
        <v>19</v>
      </c>
      <c r="C10" s="1" t="s">
        <v>22</v>
      </c>
    </row>
    <row r="11" spans="1:19" x14ac:dyDescent="0.45">
      <c r="A11" s="1">
        <v>6</v>
      </c>
      <c r="B11" s="13" t="s">
        <v>19</v>
      </c>
      <c r="C11" s="1" t="s">
        <v>23</v>
      </c>
    </row>
    <row r="12" spans="1:19" x14ac:dyDescent="0.45">
      <c r="A12" s="1">
        <v>1</v>
      </c>
      <c r="B12" s="13" t="s">
        <v>35</v>
      </c>
      <c r="C12" s="1" t="s">
        <v>36</v>
      </c>
    </row>
    <row r="13" spans="1:19" x14ac:dyDescent="0.45">
      <c r="A13" s="1">
        <v>2</v>
      </c>
      <c r="B13" s="13" t="s">
        <v>35</v>
      </c>
      <c r="C13" s="1" t="s">
        <v>37</v>
      </c>
    </row>
    <row r="14" spans="1:19" x14ac:dyDescent="0.45">
      <c r="A14" s="1">
        <v>3</v>
      </c>
      <c r="B14" s="13" t="s">
        <v>35</v>
      </c>
      <c r="C14" s="1" t="s">
        <v>38</v>
      </c>
    </row>
    <row r="15" spans="1:19" x14ac:dyDescent="0.45">
      <c r="A15" s="1">
        <v>4</v>
      </c>
      <c r="B15" s="13" t="s">
        <v>35</v>
      </c>
      <c r="C15" s="1" t="s">
        <v>39</v>
      </c>
    </row>
    <row r="16" spans="1:19" x14ac:dyDescent="0.45">
      <c r="A16" s="1">
        <v>5</v>
      </c>
      <c r="B16" s="13" t="s">
        <v>35</v>
      </c>
      <c r="C16" s="1" t="s">
        <v>40</v>
      </c>
    </row>
    <row r="17" spans="1:5" x14ac:dyDescent="0.45">
      <c r="A17" s="1">
        <v>6</v>
      </c>
      <c r="B17" s="13" t="s">
        <v>35</v>
      </c>
      <c r="C17" s="1" t="s">
        <v>41</v>
      </c>
    </row>
    <row r="18" spans="1:5" x14ac:dyDescent="0.45">
      <c r="A18" s="1">
        <v>7</v>
      </c>
      <c r="B18" s="13" t="s">
        <v>35</v>
      </c>
      <c r="C18" s="1" t="s">
        <v>42</v>
      </c>
    </row>
    <row r="19" spans="1:5" x14ac:dyDescent="0.45">
      <c r="A19" s="1">
        <v>8</v>
      </c>
      <c r="B19" s="13" t="s">
        <v>35</v>
      </c>
      <c r="C19" s="1" t="s">
        <v>43</v>
      </c>
    </row>
    <row r="20" spans="1:5" x14ac:dyDescent="0.45">
      <c r="A20" s="1">
        <v>1</v>
      </c>
      <c r="B20" s="13" t="s">
        <v>44</v>
      </c>
      <c r="C20" s="1" t="s">
        <v>45</v>
      </c>
    </row>
    <row r="21" spans="1:5" x14ac:dyDescent="0.45">
      <c r="A21" s="1">
        <v>2</v>
      </c>
      <c r="B21" s="13" t="s">
        <v>44</v>
      </c>
      <c r="C21" s="1" t="s">
        <v>46</v>
      </c>
      <c r="E21" s="11"/>
    </row>
    <row r="22" spans="1:5" x14ac:dyDescent="0.45">
      <c r="A22" s="1">
        <v>3</v>
      </c>
      <c r="B22" s="13" t="s">
        <v>44</v>
      </c>
      <c r="C22" s="1" t="s">
        <v>47</v>
      </c>
      <c r="E22" s="11"/>
    </row>
    <row r="23" spans="1:5" x14ac:dyDescent="0.45">
      <c r="A23" s="1">
        <v>4</v>
      </c>
      <c r="B23" s="13" t="s">
        <v>44</v>
      </c>
      <c r="C23" s="1" t="s">
        <v>48</v>
      </c>
      <c r="E23" s="11"/>
    </row>
    <row r="24" spans="1:5" x14ac:dyDescent="0.45">
      <c r="A24" s="1">
        <v>1</v>
      </c>
      <c r="B24" s="13" t="s">
        <v>28</v>
      </c>
      <c r="C24" s="1" t="s">
        <v>50</v>
      </c>
      <c r="E24" s="11"/>
    </row>
    <row r="25" spans="1:5" x14ac:dyDescent="0.45">
      <c r="A25" s="1">
        <v>2</v>
      </c>
      <c r="B25" s="13" t="s">
        <v>28</v>
      </c>
      <c r="C25" s="1" t="s">
        <v>13</v>
      </c>
      <c r="E25" s="11"/>
    </row>
    <row r="26" spans="1:5" x14ac:dyDescent="0.45">
      <c r="A26" s="1">
        <v>3</v>
      </c>
      <c r="B26" s="13" t="s">
        <v>28</v>
      </c>
      <c r="C26" s="1" t="s">
        <v>12</v>
      </c>
      <c r="E26" s="12"/>
    </row>
    <row r="27" spans="1:5" x14ac:dyDescent="0.45">
      <c r="A27" s="1">
        <v>4</v>
      </c>
      <c r="B27" s="13" t="s">
        <v>28</v>
      </c>
      <c r="C27" s="1" t="s">
        <v>14</v>
      </c>
    </row>
    <row r="28" spans="1:5" x14ac:dyDescent="0.45">
      <c r="A28" s="1">
        <v>5</v>
      </c>
      <c r="B28" s="13" t="s">
        <v>28</v>
      </c>
      <c r="C28" s="1" t="s">
        <v>7</v>
      </c>
    </row>
    <row r="29" spans="1:5" x14ac:dyDescent="0.45">
      <c r="A29" s="1">
        <v>1</v>
      </c>
      <c r="B29" s="13" t="s">
        <v>100</v>
      </c>
      <c r="C29" s="1" t="s">
        <v>105</v>
      </c>
    </row>
    <row r="30" spans="1:5" x14ac:dyDescent="0.45">
      <c r="A30" s="1">
        <v>2</v>
      </c>
      <c r="B30" s="13" t="s">
        <v>100</v>
      </c>
      <c r="C30" s="1" t="s">
        <v>106</v>
      </c>
    </row>
    <row r="31" spans="1:5" x14ac:dyDescent="0.45">
      <c r="A31" s="1">
        <v>3</v>
      </c>
      <c r="B31" s="13" t="s">
        <v>100</v>
      </c>
      <c r="C31" s="1" t="s">
        <v>107</v>
      </c>
    </row>
    <row r="32" spans="1:5" x14ac:dyDescent="0.45">
      <c r="A32" s="1">
        <v>1</v>
      </c>
      <c r="B32" s="13" t="s">
        <v>101</v>
      </c>
      <c r="C32" s="1" t="s">
        <v>112</v>
      </c>
    </row>
    <row r="33" spans="1:11" x14ac:dyDescent="0.45">
      <c r="A33" s="1">
        <v>2</v>
      </c>
      <c r="B33" s="13" t="s">
        <v>101</v>
      </c>
      <c r="C33" s="1" t="s">
        <v>104</v>
      </c>
    </row>
    <row r="34" spans="1:11" x14ac:dyDescent="0.45">
      <c r="A34" s="1">
        <v>3</v>
      </c>
      <c r="B34" s="13" t="s">
        <v>101</v>
      </c>
      <c r="C34" s="1" t="s">
        <v>102</v>
      </c>
    </row>
    <row r="35" spans="1:11" x14ac:dyDescent="0.45">
      <c r="A35" s="1">
        <v>4</v>
      </c>
      <c r="B35" s="13" t="s">
        <v>101</v>
      </c>
      <c r="C35" s="1" t="s">
        <v>103</v>
      </c>
    </row>
    <row r="36" spans="1:11" x14ac:dyDescent="0.45">
      <c r="A36" s="1">
        <v>1</v>
      </c>
      <c r="B36" s="13" t="s">
        <v>127</v>
      </c>
      <c r="C36" s="1" t="s">
        <v>128</v>
      </c>
    </row>
    <row r="37" spans="1:11" x14ac:dyDescent="0.45">
      <c r="A37" s="1">
        <v>2</v>
      </c>
      <c r="B37" s="13" t="s">
        <v>127</v>
      </c>
      <c r="C37" s="1" t="s">
        <v>136</v>
      </c>
    </row>
    <row r="38" spans="1:11" x14ac:dyDescent="0.45">
      <c r="A38" s="1">
        <v>1</v>
      </c>
      <c r="B38" s="13" t="s">
        <v>129</v>
      </c>
      <c r="C38" s="1" t="s">
        <v>27</v>
      </c>
    </row>
    <row r="39" spans="1:11" x14ac:dyDescent="0.45">
      <c r="A39" s="1">
        <v>2</v>
      </c>
      <c r="B39" s="13" t="s">
        <v>129</v>
      </c>
      <c r="C39" s="1" t="s">
        <v>132</v>
      </c>
    </row>
    <row r="40" spans="1:11" x14ac:dyDescent="0.45">
      <c r="A40" s="1">
        <v>1</v>
      </c>
      <c r="B40" s="13" t="s">
        <v>133</v>
      </c>
      <c r="C40" s="1" t="s">
        <v>135</v>
      </c>
    </row>
    <row r="41" spans="1:11" x14ac:dyDescent="0.45">
      <c r="A41" s="1">
        <v>2</v>
      </c>
      <c r="B41" s="13" t="s">
        <v>133</v>
      </c>
      <c r="C41" s="1" t="s">
        <v>126</v>
      </c>
    </row>
    <row r="42" spans="1:11" x14ac:dyDescent="0.45">
      <c r="A42" s="1">
        <v>3</v>
      </c>
      <c r="B42" s="13" t="s">
        <v>133</v>
      </c>
      <c r="C42" s="1" t="s">
        <v>137</v>
      </c>
    </row>
    <row r="43" spans="1:11" x14ac:dyDescent="0.45">
      <c r="A43" s="1">
        <v>4</v>
      </c>
      <c r="B43" s="13" t="s">
        <v>133</v>
      </c>
      <c r="C43" s="1" t="s">
        <v>138</v>
      </c>
      <c r="F43" s="9"/>
      <c r="G43" s="2"/>
      <c r="J43" s="11"/>
      <c r="K43" s="11"/>
    </row>
    <row r="44" spans="1:11" x14ac:dyDescent="0.45">
      <c r="A44" s="1">
        <v>5</v>
      </c>
      <c r="B44" s="13" t="s">
        <v>133</v>
      </c>
      <c r="C44" s="1" t="s">
        <v>163</v>
      </c>
    </row>
    <row r="45" spans="1:11" x14ac:dyDescent="0.45">
      <c r="A45" s="1">
        <v>1</v>
      </c>
      <c r="B45" s="11" t="s">
        <v>165</v>
      </c>
      <c r="C45" s="1" t="s">
        <v>166</v>
      </c>
    </row>
    <row r="46" spans="1:11" x14ac:dyDescent="0.45">
      <c r="A46" s="1">
        <v>2</v>
      </c>
      <c r="B46" s="11" t="s">
        <v>165</v>
      </c>
      <c r="C46" s="1" t="s">
        <v>167</v>
      </c>
    </row>
    <row r="47" spans="1:11" x14ac:dyDescent="0.45">
      <c r="A47" s="1">
        <v>3</v>
      </c>
      <c r="B47" s="11" t="s">
        <v>165</v>
      </c>
      <c r="C47" s="1" t="s">
        <v>168</v>
      </c>
    </row>
    <row r="48" spans="1:11" x14ac:dyDescent="0.45">
      <c r="A48" s="1"/>
      <c r="B48" s="11"/>
      <c r="C48" s="1"/>
    </row>
    <row r="49" spans="1:3" x14ac:dyDescent="0.45">
      <c r="A49" s="1"/>
      <c r="B49" s="11"/>
      <c r="C49" s="1"/>
    </row>
    <row r="50" spans="1:3" x14ac:dyDescent="0.45">
      <c r="A50" s="1"/>
      <c r="B50" s="11"/>
      <c r="C50" s="1"/>
    </row>
    <row r="51" spans="1:3" x14ac:dyDescent="0.45">
      <c r="A51" s="1"/>
      <c r="B51" s="11"/>
      <c r="C51" s="1"/>
    </row>
    <row r="52" spans="1:3" x14ac:dyDescent="0.45">
      <c r="A52" s="1"/>
      <c r="B52" s="11"/>
      <c r="C52" s="1"/>
    </row>
    <row r="53" spans="1:3" x14ac:dyDescent="0.45">
      <c r="A53" s="1"/>
      <c r="B53" s="11"/>
      <c r="C53" s="1"/>
    </row>
    <row r="54" spans="1:3" x14ac:dyDescent="0.45">
      <c r="A54" s="1"/>
      <c r="B54" s="11"/>
      <c r="C54" s="1"/>
    </row>
    <row r="55" spans="1:3" x14ac:dyDescent="0.45">
      <c r="A55" s="1"/>
      <c r="B55" s="11"/>
      <c r="C55" s="1"/>
    </row>
    <row r="56" spans="1:3" x14ac:dyDescent="0.45">
      <c r="A56" s="1"/>
      <c r="C56" s="1"/>
    </row>
    <row r="57" spans="1:3" x14ac:dyDescent="0.45">
      <c r="A57" s="1"/>
      <c r="C57" s="1"/>
    </row>
    <row r="58" spans="1:3" x14ac:dyDescent="0.45">
      <c r="A58" s="1"/>
      <c r="C58" s="1"/>
    </row>
    <row r="59" spans="1:3" x14ac:dyDescent="0.45">
      <c r="A59" s="1"/>
      <c r="C59" s="1"/>
    </row>
    <row r="60" spans="1:3" x14ac:dyDescent="0.45">
      <c r="A60" s="1"/>
      <c r="C60" s="1"/>
    </row>
    <row r="61" spans="1:3" x14ac:dyDescent="0.45">
      <c r="A61" s="1"/>
      <c r="C61" s="1"/>
    </row>
    <row r="62" spans="1:3" x14ac:dyDescent="0.45">
      <c r="A62" s="1"/>
      <c r="C62" s="1"/>
    </row>
    <row r="63" spans="1:3" x14ac:dyDescent="0.45">
      <c r="A63" s="1"/>
      <c r="C63" s="1"/>
    </row>
    <row r="64" spans="1:3" x14ac:dyDescent="0.45">
      <c r="A64" s="1"/>
      <c r="C64" s="1"/>
    </row>
    <row r="65" spans="1:3" x14ac:dyDescent="0.45">
      <c r="A65" s="1"/>
      <c r="C65" s="1"/>
    </row>
    <row r="66" spans="1:3" x14ac:dyDescent="0.45">
      <c r="A66" s="1"/>
      <c r="C66" s="1"/>
    </row>
    <row r="67" spans="1:3" x14ac:dyDescent="0.45">
      <c r="A67" s="1"/>
      <c r="C67" s="1"/>
    </row>
    <row r="68" spans="1:3" x14ac:dyDescent="0.45">
      <c r="A68" s="1"/>
      <c r="C68" s="1"/>
    </row>
    <row r="69" spans="1:3" x14ac:dyDescent="0.45">
      <c r="A69" s="1"/>
    </row>
  </sheetData>
  <phoneticPr fontId="1" type="noConversion"/>
  <dataValidations disablePrompts="1" count="1">
    <dataValidation type="list" allowBlank="1" showInputMessage="1" showErrorMessage="1" sqref="I16:I17" xr:uid="{2665461F-3737-5C48-86C3-985860BED678}">
      <formula1>$I$2:$I$1016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2A38-B8D5-894C-A1D0-EDAD32738ED4}">
  <dimension ref="A1"/>
  <sheetViews>
    <sheetView workbookViewId="0">
      <selection activeCell="I37" sqref="I37"/>
    </sheetView>
  </sheetViews>
  <sheetFormatPr defaultColWidth="11.15234375" defaultRowHeight="17.5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4E3B-BCDE-5A49-BB39-4B30666D97F3}">
  <dimension ref="A1:P12"/>
  <sheetViews>
    <sheetView workbookViewId="0">
      <selection activeCell="F31" sqref="F31"/>
    </sheetView>
  </sheetViews>
  <sheetFormatPr defaultColWidth="11.15234375" defaultRowHeight="17.5" x14ac:dyDescent="0.45"/>
  <cols>
    <col min="4" max="4" width="19.15234375" bestFit="1" customWidth="1"/>
    <col min="5" max="5" width="19.15234375" customWidth="1"/>
    <col min="6" max="6" width="20.69140625" bestFit="1" customWidth="1"/>
    <col min="7" max="7" width="12.3046875" bestFit="1" customWidth="1"/>
    <col min="8" max="9" width="12.84375" bestFit="1" customWidth="1"/>
    <col min="10" max="10" width="13.3046875" bestFit="1" customWidth="1"/>
    <col min="11" max="11" width="9.3828125" bestFit="1" customWidth="1"/>
    <col min="12" max="12" width="10.15234375" bestFit="1" customWidth="1"/>
    <col min="13" max="13" width="9.69140625" bestFit="1" customWidth="1"/>
    <col min="14" max="14" width="12.53515625" bestFit="1" customWidth="1"/>
    <col min="15" max="15" width="15.84375" bestFit="1" customWidth="1"/>
  </cols>
  <sheetData>
    <row r="1" spans="1:16" x14ac:dyDescent="0.45">
      <c r="A1" s="7"/>
      <c r="B1" s="7" t="s">
        <v>2</v>
      </c>
      <c r="C1" s="5" t="s">
        <v>2</v>
      </c>
      <c r="D1" s="5" t="s">
        <v>0</v>
      </c>
      <c r="E1" s="5" t="s">
        <v>80</v>
      </c>
      <c r="F1" s="5" t="s">
        <v>9</v>
      </c>
      <c r="G1" s="5" t="s">
        <v>93</v>
      </c>
      <c r="H1" s="9"/>
      <c r="I1" s="9"/>
      <c r="J1" s="11"/>
      <c r="K1" s="11"/>
      <c r="L1" s="11"/>
      <c r="M1" s="9"/>
      <c r="N1" s="11"/>
    </row>
    <row r="2" spans="1:16" x14ac:dyDescent="0.45">
      <c r="A2" s="7"/>
      <c r="B2" s="8"/>
      <c r="C2" s="6"/>
      <c r="D2" s="6" t="s">
        <v>83</v>
      </c>
      <c r="E2" s="6" t="s">
        <v>98</v>
      </c>
      <c r="F2" s="6" t="s">
        <v>94</v>
      </c>
      <c r="G2" s="6" t="s">
        <v>95</v>
      </c>
      <c r="H2" s="9"/>
      <c r="I2" s="9"/>
      <c r="J2" s="11"/>
      <c r="K2" s="11"/>
      <c r="L2" s="11"/>
      <c r="M2" s="9"/>
      <c r="N2" s="11"/>
    </row>
    <row r="3" spans="1:16" x14ac:dyDescent="0.45">
      <c r="A3" s="7" t="str">
        <f>_xlfn.TEXTJOIN("_",TRUE,B3,C3)</f>
        <v>Spawner_Test</v>
      </c>
      <c r="B3" t="s">
        <v>92</v>
      </c>
      <c r="C3" s="9" t="s">
        <v>55</v>
      </c>
      <c r="D3" s="9" t="s">
        <v>97</v>
      </c>
      <c r="E3" s="9">
        <v>1</v>
      </c>
      <c r="F3" s="9" t="s">
        <v>96</v>
      </c>
      <c r="G3" s="17">
        <v>100100</v>
      </c>
      <c r="H3" s="9"/>
      <c r="I3" s="9"/>
      <c r="J3" s="11"/>
      <c r="K3" s="11"/>
      <c r="L3" s="11"/>
      <c r="M3" s="9"/>
      <c r="N3" s="11"/>
    </row>
    <row r="4" spans="1:16" x14ac:dyDescent="0.45">
      <c r="C4" s="9"/>
      <c r="D4" s="9"/>
      <c r="E4" s="9"/>
      <c r="F4" s="9"/>
      <c r="G4" s="9"/>
      <c r="H4" s="9"/>
      <c r="I4" s="9"/>
      <c r="J4" s="11"/>
      <c r="K4" s="11"/>
      <c r="L4" s="11"/>
      <c r="M4" s="9"/>
      <c r="N4" s="11"/>
    </row>
    <row r="5" spans="1:16" x14ac:dyDescent="0.45">
      <c r="C5" s="9"/>
      <c r="D5" s="9"/>
      <c r="E5" s="9"/>
      <c r="F5" s="9"/>
      <c r="G5" s="9"/>
      <c r="H5" s="9"/>
      <c r="I5" s="9"/>
      <c r="J5" s="11"/>
      <c r="K5" s="11"/>
      <c r="L5" s="11"/>
      <c r="M5" s="9"/>
      <c r="N5" s="11"/>
    </row>
    <row r="6" spans="1:16" x14ac:dyDescent="0.45">
      <c r="C6" s="9"/>
      <c r="D6" s="9"/>
      <c r="E6" s="9"/>
      <c r="F6" s="9"/>
      <c r="G6" s="9"/>
      <c r="H6" s="9"/>
      <c r="I6" s="9"/>
      <c r="J6" s="9"/>
      <c r="K6" s="9"/>
      <c r="L6" s="11"/>
      <c r="M6" s="11"/>
      <c r="N6" s="11"/>
      <c r="O6" s="9"/>
      <c r="P6" s="11"/>
    </row>
    <row r="7" spans="1:16" x14ac:dyDescent="0.45">
      <c r="C7" s="9"/>
      <c r="D7" s="9"/>
      <c r="E7" s="9"/>
      <c r="F7" s="9"/>
      <c r="G7" s="9"/>
      <c r="H7" s="9"/>
      <c r="I7" s="9"/>
      <c r="J7" s="9"/>
      <c r="K7" s="9"/>
      <c r="L7" s="11"/>
      <c r="M7" s="11"/>
      <c r="N7" s="11"/>
      <c r="O7" s="9"/>
      <c r="P7" s="11"/>
    </row>
    <row r="8" spans="1:16" x14ac:dyDescent="0.45">
      <c r="C8" s="9"/>
      <c r="D8" s="9"/>
      <c r="E8" s="9"/>
      <c r="F8" s="9"/>
      <c r="G8" s="9"/>
      <c r="H8" s="9"/>
      <c r="I8" s="9"/>
      <c r="J8" s="11"/>
      <c r="K8" s="11"/>
      <c r="L8" s="11"/>
      <c r="M8" s="9"/>
      <c r="N8" s="11"/>
    </row>
    <row r="9" spans="1:16" x14ac:dyDescent="0.45">
      <c r="C9" s="9"/>
      <c r="D9" s="9"/>
      <c r="E9" s="9"/>
      <c r="F9" s="9"/>
      <c r="G9" s="9"/>
      <c r="H9" s="9"/>
      <c r="I9" s="9"/>
      <c r="J9" s="11"/>
      <c r="K9" s="11"/>
      <c r="L9" s="11"/>
      <c r="M9" s="9"/>
      <c r="N9" s="11"/>
    </row>
    <row r="10" spans="1:16" x14ac:dyDescent="0.45">
      <c r="C10" s="9"/>
      <c r="D10" s="9"/>
      <c r="E10" s="9"/>
      <c r="F10" s="9"/>
      <c r="G10" s="9"/>
      <c r="H10" s="9"/>
      <c r="L10" s="9"/>
    </row>
    <row r="11" spans="1:16" x14ac:dyDescent="0.45">
      <c r="C11" s="9"/>
      <c r="D11" s="9"/>
      <c r="E11" s="9"/>
      <c r="F11" s="9"/>
      <c r="G11" s="9"/>
      <c r="H11" s="9"/>
      <c r="L11" s="9"/>
    </row>
    <row r="12" spans="1:16" x14ac:dyDescent="0.45">
      <c r="C12" s="9"/>
      <c r="D12" s="9"/>
      <c r="E12" s="9"/>
      <c r="F12" s="9"/>
      <c r="G12" s="9"/>
      <c r="H12" s="9"/>
      <c r="L12" s="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480A-994B-A74A-B07D-EEB09A80B87F}">
  <dimension ref="A1:V32"/>
  <sheetViews>
    <sheetView topLeftCell="G1" workbookViewId="0">
      <selection activeCell="O1" sqref="O1"/>
    </sheetView>
  </sheetViews>
  <sheetFormatPr defaultColWidth="11.15234375" defaultRowHeight="17.5" x14ac:dyDescent="0.45"/>
  <cols>
    <col min="1" max="1" width="12" bestFit="1" customWidth="1"/>
    <col min="4" max="4" width="12.15234375" bestFit="1" customWidth="1"/>
    <col min="5" max="5" width="18.53515625" bestFit="1" customWidth="1"/>
    <col min="6" max="6" width="16.3828125" bestFit="1" customWidth="1"/>
    <col min="7" max="7" width="21.69140625" bestFit="1" customWidth="1"/>
    <col min="8" max="9" width="21.69140625" customWidth="1"/>
    <col min="12" max="12" width="21.69140625" bestFit="1" customWidth="1"/>
    <col min="13" max="13" width="15.84375" bestFit="1" customWidth="1"/>
  </cols>
  <sheetData>
    <row r="1" spans="1:22" x14ac:dyDescent="0.45">
      <c r="A1" s="7"/>
      <c r="B1" s="7" t="s">
        <v>2</v>
      </c>
      <c r="C1" s="5"/>
      <c r="D1" s="5" t="s">
        <v>0</v>
      </c>
      <c r="E1" s="5" t="s">
        <v>0</v>
      </c>
      <c r="F1" s="5" t="s">
        <v>0</v>
      </c>
      <c r="G1" s="5" t="s">
        <v>0</v>
      </c>
      <c r="H1" s="8" t="s">
        <v>15</v>
      </c>
      <c r="I1" s="8" t="s">
        <v>17</v>
      </c>
      <c r="J1" s="15" t="s">
        <v>31</v>
      </c>
      <c r="K1" s="8" t="s">
        <v>19</v>
      </c>
      <c r="L1" s="5" t="s">
        <v>0</v>
      </c>
      <c r="M1" s="5" t="s">
        <v>80</v>
      </c>
      <c r="N1" s="5" t="s">
        <v>101</v>
      </c>
      <c r="O1" s="5" t="s">
        <v>158</v>
      </c>
      <c r="P1" s="5" t="s">
        <v>160</v>
      </c>
      <c r="Q1" s="5"/>
      <c r="R1" s="5"/>
      <c r="S1" s="5"/>
      <c r="T1" s="5"/>
      <c r="U1" s="5"/>
      <c r="V1" s="5"/>
    </row>
    <row r="2" spans="1:22" x14ac:dyDescent="0.45">
      <c r="A2" s="7"/>
      <c r="B2" s="8"/>
      <c r="C2" s="6"/>
      <c r="D2" s="6" t="s">
        <v>32</v>
      </c>
      <c r="E2" s="6" t="s">
        <v>83</v>
      </c>
      <c r="F2" s="6" t="s">
        <v>33</v>
      </c>
      <c r="G2" s="6" t="s">
        <v>34</v>
      </c>
      <c r="H2" s="8" t="s">
        <v>16</v>
      </c>
      <c r="I2" s="8" t="s">
        <v>18</v>
      </c>
      <c r="J2" s="16" t="s">
        <v>62</v>
      </c>
      <c r="K2" s="8" t="s">
        <v>25</v>
      </c>
      <c r="L2" s="6" t="s">
        <v>81</v>
      </c>
      <c r="M2" s="6" t="s">
        <v>82</v>
      </c>
      <c r="N2" s="6" t="s">
        <v>111</v>
      </c>
      <c r="O2" s="6" t="s">
        <v>159</v>
      </c>
      <c r="P2" s="6" t="s">
        <v>161</v>
      </c>
      <c r="Q2" s="6"/>
      <c r="R2" s="14"/>
      <c r="S2" s="6"/>
      <c r="T2" s="6"/>
      <c r="U2" s="6"/>
      <c r="V2" s="6"/>
    </row>
    <row r="3" spans="1:22" x14ac:dyDescent="0.45">
      <c r="A3" s="7" t="str">
        <f>_xlfn.TEXTJOIN("_",TRUE,B3,C3)</f>
        <v>Player_Human</v>
      </c>
      <c r="B3" t="s">
        <v>7</v>
      </c>
      <c r="C3" s="9" t="s">
        <v>49</v>
      </c>
      <c r="D3" s="9" t="s">
        <v>117</v>
      </c>
      <c r="E3" s="9" t="s">
        <v>84</v>
      </c>
      <c r="F3" s="9" t="s">
        <v>118</v>
      </c>
      <c r="G3" s="9" t="s">
        <v>151</v>
      </c>
      <c r="H3" s="11" t="s">
        <v>116</v>
      </c>
      <c r="I3" s="11" t="s">
        <v>115</v>
      </c>
      <c r="J3" s="11" t="s">
        <v>62</v>
      </c>
      <c r="K3" s="9" t="s">
        <v>23</v>
      </c>
      <c r="L3" s="11" t="s">
        <v>88</v>
      </c>
      <c r="M3" s="9">
        <v>100</v>
      </c>
      <c r="N3" s="11" t="s">
        <v>112</v>
      </c>
    </row>
    <row r="4" spans="1:22" x14ac:dyDescent="0.45">
      <c r="A4" s="7" t="str">
        <f>_xlfn.TEXTJOIN("_",TRUE,B4,C4)</f>
        <v>Player_Dog</v>
      </c>
      <c r="B4" t="s">
        <v>7</v>
      </c>
      <c r="C4" s="9" t="s">
        <v>77</v>
      </c>
      <c r="D4" s="9" t="s">
        <v>117</v>
      </c>
      <c r="E4" s="9" t="s">
        <v>85</v>
      </c>
      <c r="F4" s="9" t="s">
        <v>119</v>
      </c>
      <c r="G4" s="9" t="s">
        <v>53</v>
      </c>
      <c r="H4" s="11" t="s">
        <v>116</v>
      </c>
      <c r="I4" s="11" t="s">
        <v>115</v>
      </c>
      <c r="J4" s="11" t="s">
        <v>62</v>
      </c>
      <c r="K4" s="9" t="s">
        <v>24</v>
      </c>
      <c r="L4" s="11" t="s">
        <v>89</v>
      </c>
      <c r="M4" s="9">
        <v>100</v>
      </c>
      <c r="N4" s="11" t="s">
        <v>104</v>
      </c>
    </row>
    <row r="5" spans="1:22" x14ac:dyDescent="0.45">
      <c r="A5" s="7" t="str">
        <f>_xlfn.TEXTJOIN("_",TRUE,B5,C5)</f>
        <v>Player_Eagle</v>
      </c>
      <c r="B5" t="s">
        <v>7</v>
      </c>
      <c r="C5" s="9" t="s">
        <v>78</v>
      </c>
      <c r="D5" s="9" t="s">
        <v>117</v>
      </c>
      <c r="E5" s="9" t="s">
        <v>86</v>
      </c>
      <c r="F5" s="9" t="s">
        <v>120</v>
      </c>
      <c r="G5" s="9" t="s">
        <v>53</v>
      </c>
      <c r="H5" s="11" t="s">
        <v>116</v>
      </c>
      <c r="I5" s="11" t="s">
        <v>115</v>
      </c>
      <c r="J5" s="11" t="s">
        <v>62</v>
      </c>
      <c r="K5" s="9" t="s">
        <v>24</v>
      </c>
      <c r="L5" s="11" t="s">
        <v>90</v>
      </c>
      <c r="M5" s="9">
        <v>100</v>
      </c>
      <c r="N5" s="11" t="s">
        <v>104</v>
      </c>
    </row>
    <row r="6" spans="1:22" x14ac:dyDescent="0.45">
      <c r="A6" s="7" t="str">
        <f>_xlfn.TEXTJOIN("_",TRUE,B6,C6)</f>
        <v>Player_Snake</v>
      </c>
      <c r="B6" t="s">
        <v>7</v>
      </c>
      <c r="C6" s="9" t="s">
        <v>79</v>
      </c>
      <c r="D6" s="9" t="s">
        <v>117</v>
      </c>
      <c r="E6" s="9" t="s">
        <v>87</v>
      </c>
      <c r="F6" s="9" t="s">
        <v>121</v>
      </c>
      <c r="G6" s="9" t="s">
        <v>53</v>
      </c>
      <c r="H6" s="11" t="s">
        <v>116</v>
      </c>
      <c r="I6" s="11" t="s">
        <v>115</v>
      </c>
      <c r="J6" s="11" t="s">
        <v>62</v>
      </c>
      <c r="K6" s="9" t="s">
        <v>24</v>
      </c>
      <c r="L6" s="11" t="s">
        <v>91</v>
      </c>
      <c r="M6" s="9">
        <v>100</v>
      </c>
      <c r="N6" s="11" t="s">
        <v>104</v>
      </c>
    </row>
    <row r="7" spans="1:22" x14ac:dyDescent="0.45">
      <c r="A7" t="s">
        <v>2</v>
      </c>
      <c r="C7" s="9"/>
      <c r="D7" s="9"/>
      <c r="E7" s="9"/>
      <c r="F7" s="9"/>
      <c r="G7" s="9"/>
      <c r="H7" s="11"/>
      <c r="I7" s="11"/>
      <c r="J7" s="11"/>
      <c r="K7" s="9"/>
    </row>
    <row r="8" spans="1:22" x14ac:dyDescent="0.45">
      <c r="C8" s="9"/>
      <c r="D8" s="9"/>
      <c r="E8" s="9"/>
      <c r="F8" s="9"/>
      <c r="J8" s="9"/>
    </row>
    <row r="9" spans="1:22" x14ac:dyDescent="0.45">
      <c r="C9" s="9"/>
      <c r="D9" s="9"/>
      <c r="E9" s="9"/>
      <c r="F9" s="9"/>
      <c r="J9" s="9"/>
    </row>
    <row r="10" spans="1:22" x14ac:dyDescent="0.45">
      <c r="C10" s="9"/>
      <c r="D10" s="9"/>
      <c r="E10" s="9"/>
      <c r="F10" s="9"/>
      <c r="J10" s="9"/>
    </row>
    <row r="11" spans="1:22" x14ac:dyDescent="0.45">
      <c r="C11" s="9"/>
      <c r="D11" s="9"/>
      <c r="E11" s="9"/>
      <c r="F11" s="9"/>
      <c r="J11" s="9"/>
    </row>
    <row r="12" spans="1:22" x14ac:dyDescent="0.45">
      <c r="C12" s="9"/>
      <c r="D12" s="9"/>
      <c r="E12" s="9"/>
      <c r="F12" s="9"/>
      <c r="G12" s="4"/>
      <c r="J12" s="9"/>
    </row>
    <row r="13" spans="1:22" x14ac:dyDescent="0.45">
      <c r="C13" s="9"/>
      <c r="D13" s="9"/>
      <c r="E13" s="9"/>
      <c r="F13" s="9"/>
      <c r="J13" s="9"/>
    </row>
    <row r="14" spans="1:22" x14ac:dyDescent="0.45">
      <c r="C14" s="9"/>
      <c r="D14" s="9"/>
      <c r="E14" s="9"/>
      <c r="F14" s="9"/>
      <c r="G14" s="3"/>
      <c r="J14" s="9"/>
    </row>
    <row r="15" spans="1:22" x14ac:dyDescent="0.45">
      <c r="C15" s="9"/>
      <c r="D15" s="9"/>
      <c r="E15" s="9"/>
      <c r="F15" s="9"/>
      <c r="G15" s="4"/>
      <c r="J15" s="9"/>
    </row>
    <row r="16" spans="1:22" x14ac:dyDescent="0.45">
      <c r="C16" s="9"/>
      <c r="D16" s="9"/>
      <c r="E16" s="9"/>
      <c r="F16" s="9"/>
      <c r="G16" s="4"/>
      <c r="J16" s="9"/>
    </row>
    <row r="17" spans="3:10" x14ac:dyDescent="0.45">
      <c r="C17" s="9"/>
      <c r="D17" s="9"/>
      <c r="E17" s="9"/>
      <c r="F17" s="9"/>
      <c r="G17" s="4"/>
      <c r="J17" s="9"/>
    </row>
    <row r="18" spans="3:10" x14ac:dyDescent="0.45">
      <c r="C18" s="9"/>
      <c r="D18" s="9"/>
      <c r="E18" s="9"/>
      <c r="F18" s="9"/>
      <c r="J18" s="9"/>
    </row>
    <row r="19" spans="3:10" x14ac:dyDescent="0.45">
      <c r="C19" s="9"/>
      <c r="D19" s="9"/>
      <c r="E19" s="9"/>
      <c r="F19" s="9"/>
      <c r="J19" s="9"/>
    </row>
    <row r="20" spans="3:10" x14ac:dyDescent="0.45">
      <c r="C20" s="9"/>
      <c r="D20" s="9"/>
      <c r="E20" s="9"/>
      <c r="F20" s="9"/>
      <c r="J20" s="9"/>
    </row>
    <row r="21" spans="3:10" x14ac:dyDescent="0.45">
      <c r="C21" s="9"/>
      <c r="D21" s="9"/>
      <c r="E21" s="9"/>
      <c r="F21" s="9"/>
      <c r="J21" s="9"/>
    </row>
    <row r="22" spans="3:10" x14ac:dyDescent="0.45">
      <c r="C22" s="9"/>
      <c r="D22" s="9"/>
      <c r="E22" s="9"/>
      <c r="F22" s="9"/>
      <c r="J22" s="9"/>
    </row>
    <row r="23" spans="3:10" x14ac:dyDescent="0.45">
      <c r="C23" s="9"/>
      <c r="D23" s="9"/>
      <c r="E23" s="9"/>
      <c r="F23" s="9"/>
      <c r="J23" s="9"/>
    </row>
    <row r="24" spans="3:10" x14ac:dyDescent="0.45">
      <c r="C24" s="9"/>
      <c r="D24" s="9"/>
      <c r="E24" s="9"/>
      <c r="F24" s="9"/>
      <c r="J24" s="9"/>
    </row>
    <row r="25" spans="3:10" x14ac:dyDescent="0.45">
      <c r="C25" s="9"/>
      <c r="D25" s="9"/>
      <c r="E25" s="9"/>
      <c r="F25" s="9"/>
      <c r="J25" s="9"/>
    </row>
    <row r="26" spans="3:10" x14ac:dyDescent="0.45">
      <c r="C26" s="9"/>
      <c r="D26" s="9"/>
      <c r="E26" s="9"/>
      <c r="F26" s="9"/>
      <c r="J26" s="9"/>
    </row>
    <row r="27" spans="3:10" x14ac:dyDescent="0.45">
      <c r="C27" s="9"/>
      <c r="D27" s="9"/>
      <c r="E27" s="9"/>
      <c r="F27" s="9"/>
      <c r="J27" s="9"/>
    </row>
    <row r="28" spans="3:10" x14ac:dyDescent="0.45">
      <c r="C28" s="9"/>
      <c r="D28" s="9"/>
      <c r="E28" s="9"/>
      <c r="F28" s="9"/>
      <c r="J28" s="9"/>
    </row>
    <row r="29" spans="3:10" x14ac:dyDescent="0.45">
      <c r="C29" s="9"/>
      <c r="D29" s="9"/>
      <c r="E29" s="9"/>
      <c r="F29" s="9"/>
      <c r="J29" s="9"/>
    </row>
    <row r="30" spans="3:10" x14ac:dyDescent="0.45">
      <c r="C30" s="9"/>
      <c r="D30" s="9"/>
      <c r="E30" s="9"/>
      <c r="F30" s="9"/>
      <c r="J30" s="9"/>
    </row>
    <row r="31" spans="3:10" x14ac:dyDescent="0.45">
      <c r="C31" s="9"/>
      <c r="D31" s="9"/>
      <c r="E31" s="9"/>
      <c r="F31" s="9"/>
      <c r="J31" s="9"/>
    </row>
    <row r="32" spans="3:10" x14ac:dyDescent="0.45">
      <c r="C32" s="9"/>
      <c r="D32" s="9"/>
      <c r="E32" s="9"/>
      <c r="F32" s="9"/>
      <c r="J32" s="9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A1699A-C505-8C41-9338-26277C216689}">
          <x14:formula1>
            <xm:f>Enum!$H$2:$H$1016</xm:f>
          </x14:formula1>
          <xm:sqref>Q3:Q7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70E5-D6A8-8742-AF98-6CB0AA05A8B1}">
  <dimension ref="A1:V14"/>
  <sheetViews>
    <sheetView workbookViewId="0">
      <selection activeCell="I41" sqref="I41"/>
    </sheetView>
  </sheetViews>
  <sheetFormatPr defaultColWidth="11.15234375" defaultRowHeight="17.5" x14ac:dyDescent="0.45"/>
  <cols>
    <col min="1" max="1" width="15.53515625" bestFit="1" customWidth="1"/>
    <col min="6" max="6" width="12.15234375" bestFit="1" customWidth="1"/>
    <col min="7" max="7" width="19.3046875" bestFit="1" customWidth="1"/>
    <col min="9" max="9" width="23.15234375" bestFit="1" customWidth="1"/>
  </cols>
  <sheetData>
    <row r="1" spans="1:22" x14ac:dyDescent="0.45">
      <c r="A1" s="7"/>
      <c r="B1" s="7" t="s">
        <v>2</v>
      </c>
      <c r="C1" s="5" t="s">
        <v>2</v>
      </c>
      <c r="D1" s="5" t="s">
        <v>2</v>
      </c>
      <c r="E1" s="5" t="s">
        <v>28</v>
      </c>
      <c r="F1" s="5" t="s">
        <v>19</v>
      </c>
      <c r="G1" s="8" t="s">
        <v>0</v>
      </c>
      <c r="H1" s="8" t="s">
        <v>0</v>
      </c>
      <c r="I1" s="8" t="s">
        <v>15</v>
      </c>
      <c r="J1" s="8" t="s">
        <v>17</v>
      </c>
      <c r="K1" s="8" t="s">
        <v>0</v>
      </c>
      <c r="L1" s="8" t="s">
        <v>0</v>
      </c>
      <c r="M1" s="5" t="s">
        <v>0</v>
      </c>
      <c r="N1" s="5" t="s">
        <v>1</v>
      </c>
      <c r="O1" s="5"/>
      <c r="P1" s="5"/>
      <c r="Q1" s="5"/>
      <c r="R1" s="5"/>
      <c r="S1" s="5"/>
      <c r="T1" s="5"/>
      <c r="U1" s="5"/>
      <c r="V1" s="5"/>
    </row>
    <row r="2" spans="1:22" x14ac:dyDescent="0.45">
      <c r="A2" s="7"/>
      <c r="B2" s="8"/>
      <c r="C2" s="6"/>
      <c r="D2" s="6"/>
      <c r="E2" s="6" t="s">
        <v>30</v>
      </c>
      <c r="F2" s="6" t="s">
        <v>25</v>
      </c>
      <c r="G2" s="8" t="s">
        <v>32</v>
      </c>
      <c r="H2" s="8" t="s">
        <v>33</v>
      </c>
      <c r="I2" s="8" t="s">
        <v>16</v>
      </c>
      <c r="J2" s="8" t="s">
        <v>18</v>
      </c>
      <c r="K2" s="8" t="s">
        <v>52</v>
      </c>
      <c r="L2" s="8" t="s">
        <v>34</v>
      </c>
      <c r="M2" s="6" t="s">
        <v>11</v>
      </c>
      <c r="N2" s="6" t="s">
        <v>99</v>
      </c>
      <c r="O2" s="6"/>
      <c r="P2" s="6"/>
      <c r="Q2" s="6"/>
      <c r="R2" s="14"/>
      <c r="S2" s="6"/>
      <c r="T2" s="6"/>
      <c r="U2" s="6"/>
      <c r="V2" s="6"/>
    </row>
    <row r="3" spans="1:22" x14ac:dyDescent="0.45">
      <c r="A3" s="7" t="str">
        <f>_xlfn.TEXTJOIN("_",TRUE,B3,C3)</f>
        <v>Item_WoodSword</v>
      </c>
      <c r="B3" t="s">
        <v>29</v>
      </c>
      <c r="C3" t="s">
        <v>51</v>
      </c>
      <c r="D3" s="9"/>
      <c r="E3" s="9" t="s">
        <v>13</v>
      </c>
      <c r="F3" s="2" t="s">
        <v>24</v>
      </c>
      <c r="G3" t="s">
        <v>68</v>
      </c>
      <c r="H3" t="s">
        <v>65</v>
      </c>
      <c r="I3" s="11" t="s">
        <v>116</v>
      </c>
      <c r="J3" s="11" t="s">
        <v>115</v>
      </c>
      <c r="K3" s="9" t="s">
        <v>53</v>
      </c>
      <c r="L3" t="s">
        <v>53</v>
      </c>
      <c r="M3" t="s">
        <v>11</v>
      </c>
      <c r="N3">
        <v>1</v>
      </c>
    </row>
    <row r="4" spans="1:22" x14ac:dyDescent="0.45">
      <c r="A4" s="7" t="str">
        <f>_xlfn.TEXTJOIN("_",TRUE,B4,C4)</f>
        <v>Item_WoodStaff</v>
      </c>
      <c r="B4" t="s">
        <v>29</v>
      </c>
      <c r="C4" t="s">
        <v>63</v>
      </c>
      <c r="D4" s="9"/>
      <c r="E4" s="9" t="s">
        <v>13</v>
      </c>
      <c r="F4" s="2" t="s">
        <v>24</v>
      </c>
      <c r="G4" t="s">
        <v>68</v>
      </c>
      <c r="H4" t="s">
        <v>66</v>
      </c>
      <c r="I4" s="11" t="s">
        <v>116</v>
      </c>
      <c r="J4" s="11" t="s">
        <v>115</v>
      </c>
      <c r="K4" s="9" t="s">
        <v>53</v>
      </c>
      <c r="L4" t="s">
        <v>53</v>
      </c>
      <c r="M4" t="s">
        <v>11</v>
      </c>
      <c r="N4">
        <v>1</v>
      </c>
    </row>
    <row r="5" spans="1:22" x14ac:dyDescent="0.45">
      <c r="A5" s="7" t="str">
        <f>_xlfn.TEXTJOIN("_",TRUE,B5,C5)</f>
        <v>Item_WoodBow</v>
      </c>
      <c r="B5" t="s">
        <v>29</v>
      </c>
      <c r="C5" t="s">
        <v>64</v>
      </c>
      <c r="D5" s="9"/>
      <c r="E5" s="9" t="s">
        <v>13</v>
      </c>
      <c r="F5" s="2" t="s">
        <v>24</v>
      </c>
      <c r="G5" t="s">
        <v>68</v>
      </c>
      <c r="H5" t="s">
        <v>67</v>
      </c>
      <c r="I5" s="11" t="s">
        <v>116</v>
      </c>
      <c r="J5" s="11" t="s">
        <v>115</v>
      </c>
      <c r="K5" s="9" t="s">
        <v>53</v>
      </c>
      <c r="L5" t="s">
        <v>53</v>
      </c>
      <c r="M5" t="s">
        <v>11</v>
      </c>
      <c r="N5">
        <v>1</v>
      </c>
    </row>
    <row r="6" spans="1:22" x14ac:dyDescent="0.45">
      <c r="A6" s="7" t="s">
        <v>2</v>
      </c>
      <c r="C6" s="9"/>
      <c r="D6" s="9"/>
      <c r="E6" s="1"/>
      <c r="I6" s="11"/>
      <c r="J6" s="11"/>
    </row>
    <row r="7" spans="1:22" x14ac:dyDescent="0.45">
      <c r="A7" s="7" t="str">
        <f>_xlfn.TEXTJOIN("_",TRUE,B7,C7)</f>
        <v>Item_Human</v>
      </c>
      <c r="B7" t="s">
        <v>29</v>
      </c>
      <c r="C7" s="9" t="s">
        <v>49</v>
      </c>
      <c r="D7" s="9"/>
      <c r="E7" s="9" t="s">
        <v>7</v>
      </c>
      <c r="F7" s="9" t="s">
        <v>24</v>
      </c>
      <c r="G7" t="s">
        <v>68</v>
      </c>
      <c r="H7" t="s">
        <v>122</v>
      </c>
      <c r="I7" s="11" t="s">
        <v>116</v>
      </c>
      <c r="J7" s="11" t="s">
        <v>115</v>
      </c>
      <c r="K7" s="9" t="s">
        <v>53</v>
      </c>
      <c r="L7" t="s">
        <v>53</v>
      </c>
      <c r="M7" t="s">
        <v>11</v>
      </c>
      <c r="N7">
        <v>1</v>
      </c>
    </row>
    <row r="8" spans="1:22" x14ac:dyDescent="0.45">
      <c r="A8" s="7" t="str">
        <f>_xlfn.TEXTJOIN("_",TRUE,B8,C8)</f>
        <v>Item_Dog</v>
      </c>
      <c r="B8" t="s">
        <v>29</v>
      </c>
      <c r="C8" s="9" t="s">
        <v>77</v>
      </c>
      <c r="D8" s="9"/>
      <c r="E8" s="9" t="s">
        <v>7</v>
      </c>
      <c r="F8" s="9" t="s">
        <v>24</v>
      </c>
      <c r="G8" t="s">
        <v>68</v>
      </c>
      <c r="H8" t="s">
        <v>123</v>
      </c>
      <c r="I8" s="11" t="s">
        <v>116</v>
      </c>
      <c r="J8" s="11" t="s">
        <v>115</v>
      </c>
      <c r="K8" s="9" t="s">
        <v>53</v>
      </c>
      <c r="L8" t="s">
        <v>53</v>
      </c>
      <c r="M8" t="s">
        <v>11</v>
      </c>
      <c r="N8">
        <v>1</v>
      </c>
    </row>
    <row r="9" spans="1:22" x14ac:dyDescent="0.45">
      <c r="A9" s="7" t="str">
        <f>_xlfn.TEXTJOIN("_",TRUE,B9,C9)</f>
        <v>Item_Eagle</v>
      </c>
      <c r="B9" t="s">
        <v>29</v>
      </c>
      <c r="C9" s="9" t="s">
        <v>78</v>
      </c>
      <c r="D9" s="9"/>
      <c r="E9" s="9" t="s">
        <v>7</v>
      </c>
      <c r="F9" s="9" t="s">
        <v>24</v>
      </c>
      <c r="G9" t="s">
        <v>68</v>
      </c>
      <c r="H9" t="s">
        <v>124</v>
      </c>
      <c r="I9" s="11" t="s">
        <v>116</v>
      </c>
      <c r="J9" s="11" t="s">
        <v>115</v>
      </c>
      <c r="K9" s="9" t="s">
        <v>53</v>
      </c>
      <c r="L9" t="s">
        <v>53</v>
      </c>
      <c r="M9" t="s">
        <v>11</v>
      </c>
      <c r="N9">
        <v>1</v>
      </c>
    </row>
    <row r="10" spans="1:22" x14ac:dyDescent="0.45">
      <c r="A10" s="7" t="str">
        <f>_xlfn.TEXTJOIN("_",TRUE,B10,C10)</f>
        <v>Item_Snake</v>
      </c>
      <c r="B10" t="s">
        <v>29</v>
      </c>
      <c r="C10" s="9" t="s">
        <v>79</v>
      </c>
      <c r="D10" s="9"/>
      <c r="E10" s="9" t="s">
        <v>7</v>
      </c>
      <c r="F10" s="9" t="s">
        <v>24</v>
      </c>
      <c r="G10" t="s">
        <v>68</v>
      </c>
      <c r="H10" t="s">
        <v>125</v>
      </c>
      <c r="I10" s="11" t="s">
        <v>116</v>
      </c>
      <c r="J10" s="11" t="s">
        <v>115</v>
      </c>
      <c r="K10" s="9" t="s">
        <v>53</v>
      </c>
      <c r="L10" t="s">
        <v>53</v>
      </c>
      <c r="M10" t="s">
        <v>11</v>
      </c>
      <c r="N10">
        <v>1</v>
      </c>
    </row>
    <row r="11" spans="1:22" x14ac:dyDescent="0.45">
      <c r="C11" s="9"/>
      <c r="D11" s="9"/>
      <c r="E11" s="9"/>
      <c r="I11" s="9"/>
    </row>
    <row r="12" spans="1:22" x14ac:dyDescent="0.45">
      <c r="C12" s="9"/>
      <c r="D12" s="9"/>
      <c r="E12" s="9"/>
      <c r="I12" s="9"/>
    </row>
    <row r="13" spans="1:22" x14ac:dyDescent="0.45">
      <c r="C13" s="9"/>
      <c r="D13" s="9"/>
      <c r="E13" s="9"/>
      <c r="I13" s="1"/>
    </row>
    <row r="14" spans="1:22" x14ac:dyDescent="0.45">
      <c r="I14" s="1"/>
    </row>
  </sheetData>
  <phoneticPr fontId="1" type="noConversion"/>
  <dataValidations disablePrompts="1" count="1">
    <dataValidation type="list" allowBlank="1" showInputMessage="1" showErrorMessage="1" sqref="F6" xr:uid="{17B1ACDF-E711-444F-BA32-32976EC6EADF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B59ECF9-BEB9-264A-A494-976028F5B748}">
          <x14:formula1>
            <xm:f>Enum!$H$2:$H$1016</xm:f>
          </x14:formula1>
          <xm:sqref>L6 P3:P7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54EB-5610-D14F-ACAF-D2B5E0C5153F}">
  <dimension ref="A1:Q13"/>
  <sheetViews>
    <sheetView workbookViewId="0">
      <selection activeCell="L28" sqref="L28"/>
    </sheetView>
  </sheetViews>
  <sheetFormatPr defaultColWidth="11.15234375" defaultRowHeight="17.5" x14ac:dyDescent="0.45"/>
  <cols>
    <col min="1" max="1" width="21.53515625" bestFit="1" customWidth="1"/>
    <col min="2" max="2" width="13.53515625" bestFit="1" customWidth="1"/>
    <col min="3" max="3" width="13.53515625" customWidth="1"/>
    <col min="4" max="4" width="10.84375" bestFit="1" customWidth="1"/>
    <col min="5" max="5" width="8.3046875" bestFit="1" customWidth="1"/>
    <col min="10" max="11" width="26.15234375" bestFit="1" customWidth="1"/>
  </cols>
  <sheetData>
    <row r="1" spans="1:17" x14ac:dyDescent="0.45">
      <c r="A1" s="7"/>
      <c r="B1" s="7" t="s">
        <v>2</v>
      </c>
      <c r="C1" s="7" t="s">
        <v>2</v>
      </c>
      <c r="D1" s="5" t="s">
        <v>101</v>
      </c>
      <c r="E1" s="5" t="s">
        <v>2</v>
      </c>
      <c r="F1" s="8" t="s">
        <v>2</v>
      </c>
      <c r="G1" s="8" t="s">
        <v>2</v>
      </c>
      <c r="H1" s="8" t="s">
        <v>2</v>
      </c>
      <c r="I1" s="18" t="s">
        <v>2</v>
      </c>
      <c r="J1" s="5" t="s">
        <v>110</v>
      </c>
      <c r="K1" s="8"/>
      <c r="L1" s="8"/>
      <c r="M1" s="8"/>
      <c r="N1" s="5"/>
      <c r="O1" s="5"/>
      <c r="P1" s="5"/>
      <c r="Q1" s="5"/>
    </row>
    <row r="2" spans="1:17" x14ac:dyDescent="0.45">
      <c r="A2" s="7"/>
      <c r="B2" s="8"/>
      <c r="C2" s="8"/>
      <c r="D2" s="6" t="s">
        <v>111</v>
      </c>
      <c r="E2" s="6" t="s">
        <v>112</v>
      </c>
      <c r="F2" s="8" t="s">
        <v>104</v>
      </c>
      <c r="G2" s="8" t="s">
        <v>102</v>
      </c>
      <c r="H2" s="8" t="s">
        <v>103</v>
      </c>
      <c r="I2" s="8"/>
      <c r="J2" s="6" t="s">
        <v>108</v>
      </c>
      <c r="K2" s="8"/>
      <c r="L2" s="8"/>
      <c r="M2" s="8"/>
      <c r="N2" s="6"/>
      <c r="O2" s="6"/>
      <c r="P2" s="6"/>
      <c r="Q2" s="6"/>
    </row>
    <row r="3" spans="1:17" x14ac:dyDescent="0.45">
      <c r="A3" s="7" t="str">
        <f>_xlfn.TEXTJOIN("_",TRUE,B3,D3)</f>
        <v>FactionRelation_Hero</v>
      </c>
      <c r="B3" t="s">
        <v>109</v>
      </c>
      <c r="D3" s="9" t="s">
        <v>112</v>
      </c>
      <c r="E3" s="2" t="s">
        <v>107</v>
      </c>
      <c r="F3" s="1" t="s">
        <v>105</v>
      </c>
      <c r="G3" s="1" t="s">
        <v>105</v>
      </c>
      <c r="H3" s="1" t="s">
        <v>105</v>
      </c>
      <c r="I3" s="1"/>
      <c r="J3" s="9" t="str">
        <f>_xlfn.TEXTJOIN(",",TRUE,E3:H3)</f>
        <v>Friendly,Hostile,Hostile,Hostile</v>
      </c>
      <c r="K3" s="9"/>
    </row>
    <row r="4" spans="1:17" x14ac:dyDescent="0.45">
      <c r="A4" s="7" t="str">
        <f>_xlfn.TEXTJOIN("_",TRUE,B4,D4)</f>
        <v>FactionRelation_Faction2</v>
      </c>
      <c r="B4" t="s">
        <v>109</v>
      </c>
      <c r="D4" s="9" t="s">
        <v>104</v>
      </c>
      <c r="E4" s="1" t="s">
        <v>105</v>
      </c>
      <c r="F4" s="2" t="s">
        <v>107</v>
      </c>
      <c r="G4" s="1" t="s">
        <v>105</v>
      </c>
      <c r="H4" s="1" t="s">
        <v>105</v>
      </c>
      <c r="I4" s="1"/>
      <c r="J4" s="9" t="str">
        <f>_xlfn.TEXTJOIN(",",TRUE,E4:H4)</f>
        <v>Hostile,Friendly,Hostile,Hostile</v>
      </c>
      <c r="K4" s="9"/>
    </row>
    <row r="5" spans="1:17" x14ac:dyDescent="0.45">
      <c r="A5" s="7" t="str">
        <f>_xlfn.TEXTJOIN("_",TRUE,B5,D5)</f>
        <v>FactionRelation_Faction3</v>
      </c>
      <c r="B5" t="s">
        <v>109</v>
      </c>
      <c r="D5" s="9" t="s">
        <v>102</v>
      </c>
      <c r="E5" s="1" t="s">
        <v>105</v>
      </c>
      <c r="F5" s="1" t="s">
        <v>105</v>
      </c>
      <c r="G5" s="2" t="s">
        <v>107</v>
      </c>
      <c r="H5" s="1" t="s">
        <v>105</v>
      </c>
      <c r="I5" s="1"/>
      <c r="J5" s="9" t="str">
        <f>_xlfn.TEXTJOIN(",",TRUE,E5:H5)</f>
        <v>Hostile,Hostile,Friendly,Hostile</v>
      </c>
      <c r="K5" s="9"/>
    </row>
    <row r="6" spans="1:17" x14ac:dyDescent="0.45">
      <c r="A6" s="7" t="str">
        <f>_xlfn.TEXTJOIN("_",TRUE,B6,D6)</f>
        <v>FactionRelation_Faction4</v>
      </c>
      <c r="B6" t="s">
        <v>109</v>
      </c>
      <c r="D6" s="9" t="s">
        <v>103</v>
      </c>
      <c r="E6" s="1" t="s">
        <v>105</v>
      </c>
      <c r="F6" s="1" t="s">
        <v>105</v>
      </c>
      <c r="G6" s="1" t="s">
        <v>105</v>
      </c>
      <c r="H6" s="2" t="s">
        <v>107</v>
      </c>
      <c r="J6" s="9" t="str">
        <f>_xlfn.TEXTJOIN(",",TRUE,E6:H6)</f>
        <v>Hostile,Hostile,Hostile,Friendly</v>
      </c>
    </row>
    <row r="7" spans="1:17" x14ac:dyDescent="0.45">
      <c r="D7" s="9"/>
      <c r="E7" s="9"/>
      <c r="J7" s="9"/>
      <c r="K7" s="9"/>
    </row>
    <row r="8" spans="1:17" x14ac:dyDescent="0.45">
      <c r="D8" s="9"/>
      <c r="E8" s="9"/>
      <c r="J8" s="9"/>
      <c r="K8" s="9"/>
    </row>
    <row r="9" spans="1:17" x14ac:dyDescent="0.45">
      <c r="D9" s="9"/>
      <c r="E9" s="9"/>
      <c r="J9" s="9"/>
      <c r="K9" s="9"/>
    </row>
    <row r="10" spans="1:17" x14ac:dyDescent="0.45">
      <c r="D10" s="9"/>
      <c r="E10" s="9"/>
      <c r="J10" s="9"/>
      <c r="K10" s="9"/>
    </row>
    <row r="11" spans="1:17" x14ac:dyDescent="0.45">
      <c r="D11" s="9"/>
      <c r="H11" s="9"/>
      <c r="I11" s="9"/>
      <c r="J11" s="9"/>
    </row>
    <row r="12" spans="1:17" x14ac:dyDescent="0.45">
      <c r="D12" s="9"/>
      <c r="H12" s="9"/>
      <c r="I12" s="9"/>
      <c r="J12" s="9"/>
    </row>
    <row r="13" spans="1:17" x14ac:dyDescent="0.45">
      <c r="D13" s="9"/>
      <c r="H13" s="9"/>
      <c r="I13" s="9"/>
      <c r="J13" s="9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3DBA599-4157-B940-AFCF-2F7B820F1087}">
          <x14:formula1>
            <xm:f>Enum!$H$2:$H$1016</xm:f>
          </x14:formula1>
          <xm:sqref>L6:M6 Q3:Q7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92A1-6B8F-1440-9D54-6461F12B20A3}">
  <dimension ref="A1:J8"/>
  <sheetViews>
    <sheetView workbookViewId="0">
      <selection activeCell="H48" sqref="H48"/>
    </sheetView>
  </sheetViews>
  <sheetFormatPr defaultColWidth="11.15234375" defaultRowHeight="17.5" x14ac:dyDescent="0.45"/>
  <sheetData>
    <row r="1" spans="1:10" x14ac:dyDescent="0.45">
      <c r="A1" s="7"/>
      <c r="B1" s="7" t="s">
        <v>2</v>
      </c>
      <c r="C1" s="5" t="s">
        <v>2</v>
      </c>
      <c r="D1" s="5" t="s">
        <v>19</v>
      </c>
      <c r="E1" s="8" t="s">
        <v>0</v>
      </c>
      <c r="F1" s="8" t="s">
        <v>0</v>
      </c>
      <c r="I1" s="9"/>
      <c r="J1" s="9"/>
    </row>
    <row r="2" spans="1:10" x14ac:dyDescent="0.45">
      <c r="A2" s="7"/>
      <c r="B2" s="8"/>
      <c r="C2" s="6"/>
      <c r="D2" s="6" t="s">
        <v>25</v>
      </c>
      <c r="E2" s="8" t="s">
        <v>32</v>
      </c>
      <c r="F2" s="8" t="s">
        <v>33</v>
      </c>
    </row>
    <row r="3" spans="1:10" x14ac:dyDescent="0.45">
      <c r="A3" s="7" t="str">
        <f t="shared" ref="A3:A8" si="0">_xlfn.TEXTJOIN("_",TRUE,B3,C3)</f>
        <v>Grade_Common</v>
      </c>
      <c r="B3" t="s">
        <v>61</v>
      </c>
      <c r="C3" s="1" t="s">
        <v>24</v>
      </c>
      <c r="D3" s="1" t="s">
        <v>24</v>
      </c>
      <c r="E3" t="s">
        <v>76</v>
      </c>
      <c r="F3" t="s">
        <v>69</v>
      </c>
    </row>
    <row r="4" spans="1:10" x14ac:dyDescent="0.45">
      <c r="A4" s="7" t="str">
        <f t="shared" si="0"/>
        <v>Grade_Uncommon</v>
      </c>
      <c r="B4" t="s">
        <v>61</v>
      </c>
      <c r="C4" s="1" t="s">
        <v>70</v>
      </c>
      <c r="D4" s="1" t="s">
        <v>70</v>
      </c>
      <c r="E4" t="s">
        <v>76</v>
      </c>
      <c r="F4" t="s">
        <v>71</v>
      </c>
      <c r="I4" s="9"/>
      <c r="J4" s="9"/>
    </row>
    <row r="5" spans="1:10" x14ac:dyDescent="0.45">
      <c r="A5" s="7" t="str">
        <f t="shared" si="0"/>
        <v>Grade_Rare</v>
      </c>
      <c r="B5" t="s">
        <v>61</v>
      </c>
      <c r="C5" s="1" t="s">
        <v>20</v>
      </c>
      <c r="D5" s="1" t="s">
        <v>20</v>
      </c>
      <c r="E5" t="s">
        <v>76</v>
      </c>
      <c r="F5" t="s">
        <v>72</v>
      </c>
      <c r="I5" s="9"/>
      <c r="J5" s="9"/>
    </row>
    <row r="6" spans="1:10" x14ac:dyDescent="0.45">
      <c r="A6" s="7" t="str">
        <f t="shared" si="0"/>
        <v>Grade_Epic</v>
      </c>
      <c r="B6" t="s">
        <v>61</v>
      </c>
      <c r="C6" s="1" t="s">
        <v>21</v>
      </c>
      <c r="D6" s="1" t="s">
        <v>21</v>
      </c>
      <c r="E6" t="s">
        <v>76</v>
      </c>
      <c r="F6" t="s">
        <v>73</v>
      </c>
      <c r="I6" s="9"/>
      <c r="J6" s="9"/>
    </row>
    <row r="7" spans="1:10" x14ac:dyDescent="0.45">
      <c r="A7" s="7" t="str">
        <f t="shared" si="0"/>
        <v>Grade_Unique</v>
      </c>
      <c r="B7" t="s">
        <v>61</v>
      </c>
      <c r="C7" s="1" t="s">
        <v>22</v>
      </c>
      <c r="D7" s="1" t="s">
        <v>22</v>
      </c>
      <c r="E7" t="s">
        <v>76</v>
      </c>
      <c r="F7" t="s">
        <v>74</v>
      </c>
      <c r="I7" s="9"/>
      <c r="J7" s="9"/>
    </row>
    <row r="8" spans="1:10" x14ac:dyDescent="0.45">
      <c r="A8" s="7" t="str">
        <f t="shared" si="0"/>
        <v>Grade_Legend</v>
      </c>
      <c r="B8" t="s">
        <v>61</v>
      </c>
      <c r="C8" s="1" t="s">
        <v>23</v>
      </c>
      <c r="D8" s="1" t="s">
        <v>23</v>
      </c>
      <c r="E8" t="s">
        <v>76</v>
      </c>
      <c r="F8" t="s">
        <v>75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ACEB-A93E-084F-8B48-EB95313F04DB}">
  <dimension ref="A1:F8"/>
  <sheetViews>
    <sheetView workbookViewId="0">
      <selection activeCell="D1" sqref="D1"/>
    </sheetView>
  </sheetViews>
  <sheetFormatPr defaultColWidth="11.15234375" defaultRowHeight="17.5" x14ac:dyDescent="0.45"/>
  <cols>
    <col min="1" max="1" width="16.84375" bestFit="1" customWidth="1"/>
    <col min="2" max="2" width="12.69140625" bestFit="1" customWidth="1"/>
    <col min="3" max="3" width="11.15234375" bestFit="1" customWidth="1"/>
  </cols>
  <sheetData>
    <row r="1" spans="1:6" x14ac:dyDescent="0.45">
      <c r="A1" s="7"/>
      <c r="B1" s="7" t="s">
        <v>2</v>
      </c>
      <c r="C1" s="5" t="s">
        <v>2</v>
      </c>
      <c r="D1" s="5" t="s">
        <v>35</v>
      </c>
      <c r="E1" s="5" t="s">
        <v>1</v>
      </c>
      <c r="F1" s="5" t="s">
        <v>0</v>
      </c>
    </row>
    <row r="2" spans="1:6" x14ac:dyDescent="0.45">
      <c r="A2" s="7"/>
      <c r="B2" s="8"/>
      <c r="C2" s="6"/>
      <c r="D2" s="6" t="s">
        <v>56</v>
      </c>
      <c r="E2" s="6" t="s">
        <v>57</v>
      </c>
      <c r="F2" s="6" t="s">
        <v>58</v>
      </c>
    </row>
    <row r="3" spans="1:6" x14ac:dyDescent="0.45">
      <c r="A3" s="7" t="str">
        <f>_xlfn.TEXTJOIN("_",TRUE,B3,C3)</f>
        <v>SynergeBiome_Test</v>
      </c>
      <c r="B3" t="s">
        <v>54</v>
      </c>
      <c r="C3" t="s">
        <v>55</v>
      </c>
      <c r="D3" s="9" t="s">
        <v>36</v>
      </c>
      <c r="E3">
        <v>3</v>
      </c>
      <c r="F3" t="s">
        <v>53</v>
      </c>
    </row>
    <row r="4" spans="1:6" x14ac:dyDescent="0.45">
      <c r="A4" s="7"/>
      <c r="D4" s="9"/>
    </row>
    <row r="5" spans="1:6" x14ac:dyDescent="0.45">
      <c r="A5" s="7"/>
      <c r="D5" s="9"/>
    </row>
    <row r="6" spans="1:6" x14ac:dyDescent="0.45">
      <c r="A6" s="7"/>
      <c r="D6" s="9"/>
    </row>
    <row r="7" spans="1:6" x14ac:dyDescent="0.45">
      <c r="A7" s="7" t="str">
        <f t="shared" ref="A7" si="0">_xlfn.TEXTJOIN("_",TRUE,B7,C7)</f>
        <v/>
      </c>
      <c r="C7" s="9"/>
      <c r="D7" s="9"/>
    </row>
    <row r="8" spans="1:6" x14ac:dyDescent="0.45">
      <c r="C8" s="9"/>
      <c r="D8" s="9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F1FFA4-2FD9-9C45-A6EF-56B810B8EE53}">
          <x14:formula1>
            <xm:f>Enum!$I$2:$I$1016</xm:f>
          </x14:formula1>
          <xm:sqref>C5:C6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1629-BD9D-564A-BFD4-EB36E5A37A98}">
  <dimension ref="A1:F7"/>
  <sheetViews>
    <sheetView workbookViewId="0">
      <selection activeCell="F3" sqref="F3"/>
    </sheetView>
  </sheetViews>
  <sheetFormatPr defaultColWidth="11.15234375" defaultRowHeight="17.5" x14ac:dyDescent="0.45"/>
  <cols>
    <col min="1" max="1" width="18.3046875" bestFit="1" customWidth="1"/>
  </cols>
  <sheetData>
    <row r="1" spans="1:6" x14ac:dyDescent="0.45">
      <c r="A1" s="7"/>
      <c r="B1" s="7" t="s">
        <v>2</v>
      </c>
      <c r="C1" s="5" t="s">
        <v>2</v>
      </c>
      <c r="D1" s="5" t="s">
        <v>44</v>
      </c>
      <c r="E1" s="5" t="s">
        <v>1</v>
      </c>
      <c r="F1" s="5" t="s">
        <v>0</v>
      </c>
    </row>
    <row r="2" spans="1:6" x14ac:dyDescent="0.45">
      <c r="A2" s="7"/>
      <c r="B2" s="8"/>
      <c r="C2" s="6"/>
      <c r="D2" s="6" t="s">
        <v>60</v>
      </c>
      <c r="E2" s="6" t="s">
        <v>57</v>
      </c>
      <c r="F2" s="6" t="s">
        <v>58</v>
      </c>
    </row>
    <row r="3" spans="1:6" x14ac:dyDescent="0.45">
      <c r="A3" s="7" t="str">
        <f>_xlfn.TEXTJOIN("_",TRUE,B3,C3)</f>
        <v>SynergeElement_Test</v>
      </c>
      <c r="B3" t="s">
        <v>59</v>
      </c>
      <c r="C3" t="s">
        <v>55</v>
      </c>
      <c r="D3" s="9" t="s">
        <v>45</v>
      </c>
      <c r="E3">
        <v>3</v>
      </c>
      <c r="F3" t="s">
        <v>53</v>
      </c>
    </row>
    <row r="4" spans="1:6" x14ac:dyDescent="0.45">
      <c r="C4" s="9"/>
    </row>
    <row r="5" spans="1:6" x14ac:dyDescent="0.45">
      <c r="C5" s="9"/>
    </row>
    <row r="6" spans="1:6" x14ac:dyDescent="0.45">
      <c r="C6" s="9"/>
    </row>
    <row r="7" spans="1:6" x14ac:dyDescent="0.45">
      <c r="B7" s="9"/>
      <c r="C7" s="9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5FDDF60-689E-184E-934A-907BC1C56072}">
          <x14:formula1>
            <xm:f>Enum!$I$2:$I$1016</xm:f>
          </x14:formula1>
          <xm:sqref>B5:B6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6A74-1CE1-8948-A88A-472E2BC79D97}">
  <dimension ref="A1:AE16"/>
  <sheetViews>
    <sheetView workbookViewId="0">
      <selection activeCell="K1" sqref="K1:K2"/>
    </sheetView>
  </sheetViews>
  <sheetFormatPr defaultColWidth="11.15234375" defaultRowHeight="17.5" x14ac:dyDescent="0.45"/>
  <cols>
    <col min="1" max="1" width="23.3046875" bestFit="1" customWidth="1"/>
    <col min="7" max="7" width="24.53515625" bestFit="1" customWidth="1"/>
    <col min="8" max="8" width="12.15234375" bestFit="1" customWidth="1"/>
    <col min="9" max="9" width="19.3046875" bestFit="1" customWidth="1"/>
    <col min="10" max="11" width="19.3046875" customWidth="1"/>
    <col min="12" max="12" width="11.84375" bestFit="1" customWidth="1"/>
    <col min="13" max="13" width="12.84375" bestFit="1" customWidth="1"/>
    <col min="14" max="14" width="13.53515625" bestFit="1" customWidth="1"/>
    <col min="15" max="15" width="12.84375" bestFit="1" customWidth="1"/>
  </cols>
  <sheetData>
    <row r="1" spans="1:31" x14ac:dyDescent="0.45">
      <c r="A1" s="7"/>
      <c r="B1" s="7" t="s">
        <v>2</v>
      </c>
      <c r="C1" s="5" t="s">
        <v>2</v>
      </c>
      <c r="D1" s="5" t="s">
        <v>2</v>
      </c>
      <c r="E1" s="5" t="s">
        <v>2</v>
      </c>
      <c r="F1" s="5" t="s">
        <v>2</v>
      </c>
      <c r="G1" s="19" t="s">
        <v>80</v>
      </c>
      <c r="H1" s="8" t="s">
        <v>0</v>
      </c>
      <c r="I1" s="8" t="s">
        <v>0</v>
      </c>
      <c r="J1" s="5" t="s">
        <v>127</v>
      </c>
      <c r="K1" s="5" t="s">
        <v>9</v>
      </c>
      <c r="L1" s="8" t="s">
        <v>129</v>
      </c>
      <c r="M1" s="5" t="s">
        <v>9</v>
      </c>
      <c r="N1" s="8" t="s">
        <v>133</v>
      </c>
      <c r="O1" s="5" t="s">
        <v>9</v>
      </c>
      <c r="P1" s="8"/>
      <c r="Q1" s="8"/>
      <c r="R1" s="8"/>
      <c r="S1" s="8"/>
      <c r="T1" s="5"/>
      <c r="U1" s="5"/>
      <c r="V1" s="8"/>
      <c r="W1" s="8"/>
      <c r="X1" s="5"/>
      <c r="Y1" s="8"/>
      <c r="Z1" s="8"/>
      <c r="AA1" s="8"/>
      <c r="AB1" s="8"/>
      <c r="AC1" s="8"/>
      <c r="AD1" s="5"/>
      <c r="AE1" s="5"/>
    </row>
    <row r="2" spans="1:31" x14ac:dyDescent="0.45">
      <c r="A2" s="7"/>
      <c r="B2" s="8"/>
      <c r="C2" s="6"/>
      <c r="D2" s="6"/>
      <c r="E2" s="6"/>
      <c r="F2" s="6"/>
      <c r="G2" s="19" t="s">
        <v>144</v>
      </c>
      <c r="H2" s="8" t="s">
        <v>32</v>
      </c>
      <c r="I2" s="8" t="s">
        <v>33</v>
      </c>
      <c r="J2" s="6" t="s">
        <v>146</v>
      </c>
      <c r="K2" s="6" t="s">
        <v>141</v>
      </c>
      <c r="L2" s="8" t="s">
        <v>130</v>
      </c>
      <c r="M2" s="8" t="s">
        <v>142</v>
      </c>
      <c r="N2" s="8" t="s">
        <v>134</v>
      </c>
      <c r="O2" s="8" t="s">
        <v>143</v>
      </c>
      <c r="P2" s="8"/>
      <c r="Q2" s="8"/>
      <c r="R2" s="8"/>
      <c r="S2" s="8"/>
      <c r="T2" s="6"/>
      <c r="U2" s="6"/>
      <c r="V2" s="8"/>
      <c r="W2" s="8"/>
      <c r="X2" s="6"/>
      <c r="Y2" s="8"/>
      <c r="Z2" s="8"/>
      <c r="AA2" s="8"/>
      <c r="AB2" s="8"/>
      <c r="AC2" s="8"/>
      <c r="AD2" s="6"/>
      <c r="AE2" s="6"/>
    </row>
    <row r="3" spans="1:31" x14ac:dyDescent="0.45">
      <c r="A3" s="7" t="s">
        <v>2</v>
      </c>
      <c r="D3" s="9"/>
      <c r="E3" s="9"/>
      <c r="F3" s="9"/>
      <c r="G3" s="9" t="s">
        <v>156</v>
      </c>
      <c r="J3" s="9"/>
      <c r="K3" s="2" t="s">
        <v>139</v>
      </c>
      <c r="M3" s="2" t="s">
        <v>139</v>
      </c>
      <c r="N3" s="11"/>
      <c r="O3" s="2" t="s">
        <v>139</v>
      </c>
      <c r="P3" s="9"/>
      <c r="R3" s="9"/>
    </row>
    <row r="4" spans="1:31" x14ac:dyDescent="0.45">
      <c r="A4" s="7" t="s">
        <v>2</v>
      </c>
      <c r="R4" s="13"/>
      <c r="S4" s="1"/>
    </row>
    <row r="5" spans="1:31" x14ac:dyDescent="0.45">
      <c r="A5" s="7" t="s">
        <v>154</v>
      </c>
      <c r="R5" s="13"/>
      <c r="S5" s="1"/>
    </row>
    <row r="6" spans="1:31" x14ac:dyDescent="0.45">
      <c r="A6" s="7" t="s">
        <v>154</v>
      </c>
      <c r="R6" s="13"/>
      <c r="S6" s="1"/>
    </row>
    <row r="7" spans="1:31" x14ac:dyDescent="0.45">
      <c r="A7" s="7" t="str">
        <f>_xlfn.TEXTJOIN("_",TRUE,B7:F7)</f>
        <v>Skill_Human_Projectile_1</v>
      </c>
      <c r="B7" t="s">
        <v>26</v>
      </c>
      <c r="C7" t="s">
        <v>49</v>
      </c>
      <c r="D7" s="9" t="s">
        <v>126</v>
      </c>
      <c r="E7" s="9">
        <v>1</v>
      </c>
      <c r="F7" s="9"/>
      <c r="G7" s="9">
        <v>10</v>
      </c>
      <c r="H7" t="s">
        <v>68</v>
      </c>
      <c r="I7" t="s">
        <v>66</v>
      </c>
      <c r="J7" s="9" t="s">
        <v>128</v>
      </c>
      <c r="K7" s="2"/>
      <c r="L7" t="s">
        <v>27</v>
      </c>
      <c r="N7" s="11" t="s">
        <v>126</v>
      </c>
      <c r="O7" s="11" t="s">
        <v>149</v>
      </c>
      <c r="R7" s="13"/>
      <c r="S7" s="1"/>
    </row>
    <row r="8" spans="1:31" x14ac:dyDescent="0.45">
      <c r="A8" s="7" t="s">
        <v>2</v>
      </c>
      <c r="R8" s="13"/>
      <c r="S8" s="1"/>
    </row>
    <row r="9" spans="1:31" x14ac:dyDescent="0.45">
      <c r="A9" s="7" t="s">
        <v>155</v>
      </c>
      <c r="R9" s="13"/>
      <c r="S9" s="1"/>
    </row>
    <row r="10" spans="1:31" x14ac:dyDescent="0.45">
      <c r="A10" s="7" t="s">
        <v>155</v>
      </c>
    </row>
    <row r="11" spans="1:31" x14ac:dyDescent="0.45">
      <c r="A11" s="7" t="str">
        <f>_xlfn.TEXTJOIN("_",TRUE,B11:F11)</f>
        <v>Skill_Projectile_Hit_1</v>
      </c>
      <c r="B11" t="s">
        <v>26</v>
      </c>
      <c r="C11" t="s">
        <v>126</v>
      </c>
      <c r="D11" s="9" t="s">
        <v>140</v>
      </c>
      <c r="E11" s="9">
        <v>1</v>
      </c>
      <c r="F11" s="9"/>
      <c r="G11" s="9">
        <v>1</v>
      </c>
      <c r="H11" t="s">
        <v>68</v>
      </c>
      <c r="I11" t="s">
        <v>67</v>
      </c>
      <c r="J11" s="9" t="s">
        <v>128</v>
      </c>
      <c r="K11" s="2"/>
      <c r="L11" t="s">
        <v>131</v>
      </c>
      <c r="M11">
        <v>0.6</v>
      </c>
      <c r="N11" s="11" t="s">
        <v>135</v>
      </c>
      <c r="O11" s="11">
        <v>5</v>
      </c>
    </row>
    <row r="12" spans="1:31" x14ac:dyDescent="0.45">
      <c r="A12" s="7" t="str">
        <f>_xlfn.TEXTJOIN("_",TRUE,B12:F12)</f>
        <v>Skill_Human_MeleeAttack_1</v>
      </c>
      <c r="B12" t="s">
        <v>26</v>
      </c>
      <c r="C12" t="s">
        <v>49</v>
      </c>
      <c r="D12" s="9" t="s">
        <v>145</v>
      </c>
      <c r="E12" s="9">
        <v>1</v>
      </c>
      <c r="F12" s="9"/>
      <c r="G12" s="9">
        <v>1</v>
      </c>
      <c r="H12" t="s">
        <v>68</v>
      </c>
      <c r="I12" t="s">
        <v>66</v>
      </c>
      <c r="J12" s="9" t="s">
        <v>128</v>
      </c>
      <c r="L12" t="s">
        <v>131</v>
      </c>
      <c r="M12">
        <v>0.1</v>
      </c>
      <c r="N12" s="11" t="s">
        <v>135</v>
      </c>
      <c r="O12" s="11">
        <v>5</v>
      </c>
    </row>
    <row r="13" spans="1:31" x14ac:dyDescent="0.45">
      <c r="A13" s="7" t="s">
        <v>2</v>
      </c>
    </row>
    <row r="14" spans="1:31" x14ac:dyDescent="0.45">
      <c r="A14" s="7" t="s">
        <v>157</v>
      </c>
    </row>
    <row r="15" spans="1:31" x14ac:dyDescent="0.45">
      <c r="A15" s="7" t="s">
        <v>157</v>
      </c>
    </row>
    <row r="16" spans="1:31" x14ac:dyDescent="0.45">
      <c r="A16" s="7" t="str">
        <f>_xlfn.TEXTJOIN("_",TRUE,B16:F16)</f>
        <v>Skill_Stat_1</v>
      </c>
      <c r="B16" t="s">
        <v>26</v>
      </c>
      <c r="C16" t="s">
        <v>162</v>
      </c>
      <c r="D16" s="9"/>
      <c r="E16" s="9">
        <v>1</v>
      </c>
      <c r="F16" s="9"/>
      <c r="G16" s="9">
        <v>1</v>
      </c>
      <c r="H16" t="s">
        <v>68</v>
      </c>
      <c r="I16" t="s">
        <v>67</v>
      </c>
      <c r="J16" s="9" t="s">
        <v>128</v>
      </c>
      <c r="K16" s="2"/>
      <c r="L16" s="20" t="s">
        <v>132</v>
      </c>
      <c r="M16">
        <v>0.1</v>
      </c>
      <c r="N16" s="11" t="s">
        <v>163</v>
      </c>
      <c r="O16" s="11" t="s">
        <v>164</v>
      </c>
    </row>
  </sheetData>
  <phoneticPr fontId="1" type="noConversion"/>
  <dataValidations disablePrompts="1" count="1">
    <dataValidation type="list" allowBlank="1" showInputMessage="1" showErrorMessage="1" sqref="K12" xr:uid="{27A11A15-E75D-9B40-BA34-50931BED73C4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E724-28BD-8649-A64E-E00F04A859F7}">
  <dimension ref="A1:L8"/>
  <sheetViews>
    <sheetView tabSelected="1" workbookViewId="0">
      <selection activeCell="M5" sqref="M5"/>
    </sheetView>
  </sheetViews>
  <sheetFormatPr defaultColWidth="11.15234375" defaultRowHeight="17.5" x14ac:dyDescent="0.45"/>
  <cols>
    <col min="1" max="1" width="15.3828125" bestFit="1" customWidth="1"/>
    <col min="7" max="7" width="15.84375" bestFit="1" customWidth="1"/>
    <col min="8" max="8" width="23.15234375" bestFit="1" customWidth="1"/>
    <col min="9" max="9" width="16.3828125" bestFit="1" customWidth="1"/>
    <col min="10" max="10" width="17.69140625" bestFit="1" customWidth="1"/>
  </cols>
  <sheetData>
    <row r="1" spans="1:12" x14ac:dyDescent="0.45">
      <c r="A1" s="7"/>
      <c r="B1" s="7" t="s">
        <v>2</v>
      </c>
      <c r="C1" s="5" t="s">
        <v>2</v>
      </c>
      <c r="D1" s="5" t="s">
        <v>2</v>
      </c>
      <c r="E1" s="5" t="s">
        <v>2</v>
      </c>
      <c r="F1" s="5" t="s">
        <v>80</v>
      </c>
      <c r="G1" s="7" t="s">
        <v>1</v>
      </c>
      <c r="H1" s="5" t="s">
        <v>1</v>
      </c>
      <c r="I1" s="5" t="s">
        <v>0</v>
      </c>
      <c r="J1" s="5" t="s">
        <v>0</v>
      </c>
      <c r="K1" s="19" t="s">
        <v>169</v>
      </c>
      <c r="L1" s="5" t="s">
        <v>9</v>
      </c>
    </row>
    <row r="2" spans="1:12" x14ac:dyDescent="0.45">
      <c r="A2" s="7"/>
      <c r="B2" s="8"/>
      <c r="C2" s="6"/>
      <c r="D2" s="6"/>
      <c r="E2" s="6"/>
      <c r="F2" s="6" t="s">
        <v>152</v>
      </c>
      <c r="G2" s="6" t="s">
        <v>10</v>
      </c>
      <c r="H2" s="6" t="s">
        <v>153</v>
      </c>
      <c r="I2" s="6" t="s">
        <v>32</v>
      </c>
      <c r="J2" s="6" t="s">
        <v>33</v>
      </c>
      <c r="K2" s="19" t="s">
        <v>170</v>
      </c>
      <c r="L2" s="6" t="s">
        <v>171</v>
      </c>
    </row>
    <row r="3" spans="1:12" x14ac:dyDescent="0.45">
      <c r="A3" s="7" t="str">
        <f>_xlfn.TEXTJOIN("_",TRUE,B3:E3)</f>
        <v>Buff_1</v>
      </c>
      <c r="B3" t="s">
        <v>8</v>
      </c>
      <c r="C3" s="9">
        <v>1</v>
      </c>
      <c r="D3" s="9"/>
      <c r="E3" s="9"/>
      <c r="F3">
        <v>1</v>
      </c>
      <c r="G3" s="9">
        <v>1</v>
      </c>
      <c r="H3" s="9">
        <v>1</v>
      </c>
      <c r="I3" s="9" t="s">
        <v>117</v>
      </c>
      <c r="J3" s="9" t="s">
        <v>118</v>
      </c>
    </row>
    <row r="4" spans="1:12" x14ac:dyDescent="0.45">
      <c r="C4" s="9"/>
      <c r="D4" s="9"/>
      <c r="E4" s="9"/>
      <c r="F4" s="9"/>
      <c r="G4" s="9"/>
      <c r="H4" s="9"/>
      <c r="I4" s="9"/>
      <c r="J4" s="9"/>
    </row>
    <row r="6" spans="1:12" x14ac:dyDescent="0.45">
      <c r="F6" s="9"/>
      <c r="G6" s="9"/>
      <c r="H6" s="9"/>
      <c r="I6" s="9"/>
      <c r="J6" s="9"/>
    </row>
    <row r="7" spans="1:12" x14ac:dyDescent="0.45">
      <c r="G7" s="9"/>
      <c r="H7" s="9"/>
      <c r="I7" s="9"/>
      <c r="J7" s="9"/>
    </row>
    <row r="8" spans="1:12" x14ac:dyDescent="0.45">
      <c r="F8" s="9"/>
      <c r="G8" s="9"/>
      <c r="H8" s="9"/>
      <c r="I8" s="9"/>
      <c r="J8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A486-F06C-3245-9C19-439155A4666B}">
  <dimension ref="A1:O7"/>
  <sheetViews>
    <sheetView workbookViewId="0">
      <selection activeCell="H4" sqref="A1:H4"/>
    </sheetView>
  </sheetViews>
  <sheetFormatPr defaultColWidth="11.15234375" defaultRowHeight="17.5" x14ac:dyDescent="0.45"/>
  <cols>
    <col min="1" max="1" width="15.3828125" bestFit="1" customWidth="1"/>
    <col min="5" max="5" width="15.84375" bestFit="1" customWidth="1"/>
    <col min="6" max="6" width="23.15234375" bestFit="1" customWidth="1"/>
    <col min="7" max="7" width="16.3828125" bestFit="1" customWidth="1"/>
    <col min="8" max="8" width="24.3046875" bestFit="1" customWidth="1"/>
    <col min="13" max="13" width="12.53515625" bestFit="1" customWidth="1"/>
    <col min="14" max="14" width="15.84375" bestFit="1" customWidth="1"/>
  </cols>
  <sheetData>
    <row r="1" spans="1:15" x14ac:dyDescent="0.45">
      <c r="A1" s="7"/>
      <c r="B1" s="7" t="s">
        <v>2</v>
      </c>
      <c r="C1" s="5" t="s">
        <v>2</v>
      </c>
      <c r="D1" s="5" t="s">
        <v>1</v>
      </c>
      <c r="E1" s="5" t="s">
        <v>0</v>
      </c>
      <c r="F1" s="5" t="s">
        <v>0</v>
      </c>
      <c r="G1" s="5" t="s">
        <v>0</v>
      </c>
      <c r="H1" s="5" t="s">
        <v>0</v>
      </c>
      <c r="I1" s="9"/>
      <c r="J1" s="9"/>
      <c r="K1" s="9"/>
      <c r="L1" s="9"/>
      <c r="M1" s="11"/>
      <c r="N1" s="9"/>
      <c r="O1" s="11"/>
    </row>
    <row r="2" spans="1:15" x14ac:dyDescent="0.45">
      <c r="A2" s="7"/>
      <c r="B2" s="8"/>
      <c r="C2" s="6"/>
      <c r="D2" s="6" t="s">
        <v>150</v>
      </c>
      <c r="E2" s="6" t="s">
        <v>32</v>
      </c>
      <c r="F2" s="6" t="s">
        <v>83</v>
      </c>
      <c r="G2" s="6" t="s">
        <v>33</v>
      </c>
      <c r="H2" s="6" t="s">
        <v>34</v>
      </c>
      <c r="I2" s="9"/>
      <c r="J2" s="9"/>
      <c r="K2" s="9"/>
      <c r="L2" s="9"/>
      <c r="M2" s="11"/>
      <c r="N2" s="9"/>
      <c r="O2" s="11"/>
    </row>
    <row r="3" spans="1:15" x14ac:dyDescent="0.45">
      <c r="A3" s="7" t="str">
        <f>_xlfn.TEXTJOIN("_",TRUE,B3,C3)</f>
        <v>Projectile_Human</v>
      </c>
      <c r="B3" t="s">
        <v>126</v>
      </c>
      <c r="C3" s="9" t="s">
        <v>49</v>
      </c>
      <c r="D3" s="9">
        <v>1</v>
      </c>
      <c r="E3" s="9" t="s">
        <v>117</v>
      </c>
      <c r="F3" s="9" t="s">
        <v>147</v>
      </c>
      <c r="G3" s="9" t="s">
        <v>118</v>
      </c>
      <c r="H3" s="9" t="s">
        <v>148</v>
      </c>
      <c r="I3" s="9"/>
      <c r="J3" s="9"/>
      <c r="K3" s="11"/>
      <c r="L3" s="9"/>
      <c r="M3" s="11"/>
      <c r="N3" s="9"/>
      <c r="O3" s="11"/>
    </row>
    <row r="4" spans="1:15" x14ac:dyDescent="0.45">
      <c r="C4" s="9"/>
      <c r="D4" s="9"/>
      <c r="E4" s="9"/>
      <c r="F4" s="9"/>
      <c r="G4" s="9"/>
      <c r="H4" s="9"/>
      <c r="I4" s="11"/>
      <c r="J4" s="11"/>
      <c r="K4" s="11"/>
      <c r="L4" s="9"/>
      <c r="M4" s="11"/>
      <c r="N4" s="9"/>
      <c r="O4" s="11"/>
    </row>
    <row r="5" spans="1:15" x14ac:dyDescent="0.45">
      <c r="C5" s="9"/>
      <c r="D5" s="9"/>
      <c r="E5" s="9"/>
      <c r="F5" s="9"/>
      <c r="G5" s="9"/>
      <c r="H5" s="9"/>
      <c r="I5" s="11"/>
      <c r="J5" s="11"/>
      <c r="K5" s="11"/>
      <c r="L5" s="9"/>
      <c r="M5" s="11"/>
      <c r="N5" s="9"/>
      <c r="O5" s="11"/>
    </row>
    <row r="6" spans="1:15" x14ac:dyDescent="0.45">
      <c r="C6" s="9"/>
      <c r="D6" s="9"/>
      <c r="E6" s="9"/>
      <c r="F6" s="9"/>
      <c r="G6" s="9"/>
      <c r="H6" s="9"/>
      <c r="I6" s="11"/>
      <c r="J6" s="11"/>
      <c r="K6" s="11"/>
      <c r="L6" s="9"/>
      <c r="M6" s="11"/>
      <c r="N6" s="9"/>
      <c r="O6" s="11"/>
    </row>
    <row r="7" spans="1:15" x14ac:dyDescent="0.45">
      <c r="C7" s="9"/>
      <c r="D7" s="9"/>
      <c r="E7" s="9"/>
      <c r="F7" s="9"/>
      <c r="G7" s="9"/>
      <c r="H7" s="9"/>
      <c r="I7" s="11"/>
      <c r="J7" s="11"/>
      <c r="K7" s="11"/>
      <c r="L7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Enum</vt:lpstr>
      <vt:lpstr>Localization</vt:lpstr>
      <vt:lpstr>Spawner</vt:lpstr>
      <vt:lpstr>Player</vt:lpstr>
      <vt:lpstr>Item</vt:lpstr>
      <vt:lpstr>FactionRelation</vt:lpstr>
      <vt:lpstr>Grade</vt:lpstr>
      <vt:lpstr>SynergeBiome</vt:lpstr>
      <vt:lpstr>SynergeElement</vt:lpstr>
      <vt:lpstr>Skill</vt:lpstr>
      <vt:lpstr>Buff</vt:lpstr>
      <vt:lpstr>Projectile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infy_mac</dc:creator>
  <cp:lastModifiedBy>USER</cp:lastModifiedBy>
  <dcterms:created xsi:type="dcterms:W3CDTF">2025-08-10T05:33:52Z</dcterms:created>
  <dcterms:modified xsi:type="dcterms:W3CDTF">2026-04-01T08:00:44Z</dcterms:modified>
</cp:coreProperties>
</file>