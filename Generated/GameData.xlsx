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14A6CC72-6E18-764C-A72D-ADA2B05260EF}" xr6:coauthVersionLast="47" xr6:coauthVersionMax="47" xr10:uidLastSave="{00000000-0000-0000-0000-000000000000}"/>
  <bookViews>
    <workbookView xWindow="51180" yWindow="50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9" i="27" l="1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<sst xmlns="http://schemas.openxmlformats.org/spreadsheetml/2006/main" count="509" uniqueCount="173">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</sst>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0" fillId="2" borderId="0" xfId="0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21" workbookViewId="0">
      <selection activeCell="C46" sqref="C46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112</v>
      </c>
    </row>
    <row r="5" spans="1:19">
      <c r="A5" s="1">
        <v>5</v>
      </c>
      <c r="B5" s="1" t="s">
        <v>3</v>
      </c>
      <c r="C5" s="1" t="s">
        <v>113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69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99</v>
      </c>
      <c r="C29" s="1" t="s">
        <v>104</v>
      </c>
    </row>
    <row r="30" spans="1:5">
      <c r="A30" s="1">
        <v>2</v>
      </c>
      <c r="B30" s="13" t="s">
        <v>99</v>
      </c>
      <c r="C30" s="1" t="s">
        <v>105</v>
      </c>
    </row>
    <row r="31" spans="1:5">
      <c r="A31" s="1">
        <v>3</v>
      </c>
      <c r="B31" s="13" t="s">
        <v>99</v>
      </c>
      <c r="C31" s="1" t="s">
        <v>106</v>
      </c>
    </row>
    <row r="32" spans="1:5">
      <c r="A32" s="1">
        <v>1</v>
      </c>
      <c r="B32" s="13" t="s">
        <v>100</v>
      </c>
      <c r="C32" s="1" t="s">
        <v>111</v>
      </c>
    </row>
    <row r="33" spans="1:11">
      <c r="A33" s="1">
        <v>2</v>
      </c>
      <c r="B33" s="13" t="s">
        <v>100</v>
      </c>
      <c r="C33" s="1" t="s">
        <v>103</v>
      </c>
    </row>
    <row r="34" spans="1:11">
      <c r="A34" s="1">
        <v>3</v>
      </c>
      <c r="B34" s="13" t="s">
        <v>100</v>
      </c>
      <c r="C34" s="1" t="s">
        <v>101</v>
      </c>
    </row>
    <row r="35" spans="1:11">
      <c r="A35" s="1">
        <v>4</v>
      </c>
      <c r="B35" s="13" t="s">
        <v>100</v>
      </c>
      <c r="C35" s="1" t="s">
        <v>102</v>
      </c>
    </row>
    <row r="36" spans="1:11">
      <c r="A36" s="1">
        <v>1</v>
      </c>
      <c r="B36" s="13" t="s">
        <v>126</v>
      </c>
      <c r="C36" s="1" t="s">
        <v>127</v>
      </c>
    </row>
    <row r="37" spans="1:11">
      <c r="A37" s="1">
        <v>2</v>
      </c>
      <c r="B37" s="13" t="s">
        <v>126</v>
      </c>
      <c r="C37" s="1" t="s">
        <v>135</v>
      </c>
    </row>
    <row r="38" spans="1:11">
      <c r="A38" s="1">
        <v>1</v>
      </c>
      <c r="B38" s="13" t="s">
        <v>128</v>
      </c>
      <c r="C38" s="1" t="s">
        <v>27</v>
      </c>
    </row>
    <row r="39" spans="1:11">
      <c r="A39" s="1">
        <v>2</v>
      </c>
      <c r="B39" s="13" t="s">
        <v>128</v>
      </c>
      <c r="C39" s="1" t="s">
        <v>131</v>
      </c>
    </row>
    <row r="40" spans="1:11">
      <c r="A40" s="1">
        <v>1</v>
      </c>
      <c r="B40" s="13" t="s">
        <v>132</v>
      </c>
      <c r="C40" s="1" t="s">
        <v>134</v>
      </c>
    </row>
    <row r="41" spans="1:11">
      <c r="A41" s="1">
        <v>2</v>
      </c>
      <c r="B41" s="13" t="s">
        <v>132</v>
      </c>
      <c r="C41" s="1" t="s">
        <v>125</v>
      </c>
    </row>
    <row r="42" spans="1:11">
      <c r="A42" s="1">
        <v>3</v>
      </c>
      <c r="B42" s="13" t="s">
        <v>132</v>
      </c>
      <c r="C42" s="1" t="s">
        <v>136</v>
      </c>
    </row>
    <row r="43" spans="1:11">
      <c r="A43" s="1">
        <v>4</v>
      </c>
      <c r="B43" s="13" t="s">
        <v>132</v>
      </c>
      <c r="C43" s="1" t="s">
        <v>137</v>
      </c>
      <c r="F43" s="9"/>
      <c r="G43" s="2"/>
      <c r="J43" s="11"/>
      <c r="K43" s="11"/>
    </row>
    <row r="44" spans="1:11">
      <c r="A44" s="1">
        <v>5</v>
      </c>
      <c r="B44" s="13" t="s">
        <v>132</v>
      </c>
      <c r="C44" s="1" t="s">
        <v>162</v>
      </c>
      <c r="F44" s="9"/>
      <c r="G44" s="21"/>
      <c r="J44" s="11"/>
      <c r="K44" s="11"/>
    </row>
    <row r="45" spans="1:11">
      <c r="A45" s="1">
        <v>6</v>
      </c>
      <c r="B45" s="13" t="s">
        <v>132</v>
      </c>
      <c r="C45" s="1" t="s">
        <v>172</v>
      </c>
    </row>
    <row r="46" spans="1:11">
      <c r="A46" s="1">
        <v>1</v>
      </c>
      <c r="B46" s="11" t="s">
        <v>167</v>
      </c>
      <c r="C46" s="1" t="s">
        <v>164</v>
      </c>
    </row>
    <row r="47" spans="1:11">
      <c r="A47" s="1">
        <v>2</v>
      </c>
      <c r="B47" s="11" t="s">
        <v>167</v>
      </c>
      <c r="C47" s="1" t="s">
        <v>165</v>
      </c>
    </row>
    <row r="48" spans="1:11">
      <c r="A48" s="1">
        <v>3</v>
      </c>
      <c r="B48" s="11" t="s">
        <v>167</v>
      </c>
      <c r="C48" s="1" t="s">
        <v>166</v>
      </c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B56" s="1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  <c r="C69" s="1"/>
    </row>
    <row r="70" spans="1:3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79</v>
      </c>
      <c r="F1" s="5" t="s">
        <v>9</v>
      </c>
      <c r="G1" s="5" t="s">
        <v>92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82</v>
      </c>
      <c r="E2" s="6" t="s">
        <v>97</v>
      </c>
      <c r="F2" s="6" t="s">
        <v>93</v>
      </c>
      <c r="G2" s="6" t="s">
        <v>94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91</v>
      </c>
      <c r="C3" s="9" t="s">
        <v>55</v>
      </c>
      <c r="D3" s="9" t="s">
        <v>96</v>
      </c>
      <c r="E3" s="9">
        <v>1</v>
      </c>
      <c r="F3" s="9" t="s">
        <v>95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G1" workbookViewId="0">
      <selection activeCell="O1" sqref="O1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79</v>
      </c>
      <c r="N1" s="5" t="s">
        <v>100</v>
      </c>
      <c r="O1" s="5" t="s">
        <v>157</v>
      </c>
      <c r="P1" s="5" t="s">
        <v>159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82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61</v>
      </c>
      <c r="K2" s="8" t="s">
        <v>25</v>
      </c>
      <c r="L2" s="6" t="s">
        <v>80</v>
      </c>
      <c r="M2" s="6" t="s">
        <v>81</v>
      </c>
      <c r="N2" s="6" t="s">
        <v>110</v>
      </c>
      <c r="O2" s="6" t="s">
        <v>158</v>
      </c>
      <c r="P2" s="6" t="s">
        <v>160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116</v>
      </c>
      <c r="E3" s="9" t="s">
        <v>83</v>
      </c>
      <c r="F3" s="9" t="s">
        <v>117</v>
      </c>
      <c r="G3" s="9" t="s">
        <v>150</v>
      </c>
      <c r="H3" s="11" t="s">
        <v>115</v>
      </c>
      <c r="I3" s="11" t="s">
        <v>114</v>
      </c>
      <c r="J3" s="11" t="s">
        <v>61</v>
      </c>
      <c r="K3" s="9" t="s">
        <v>23</v>
      </c>
      <c r="L3" s="11" t="s">
        <v>87</v>
      </c>
      <c r="M3" s="9">
        <v>100</v>
      </c>
      <c r="N3" s="11" t="s">
        <v>111</v>
      </c>
    </row>
    <row r="4" spans="1:22">
      <c r="A4" s="7" t="str">
        <f>_xlfn.TEXTJOIN("_",TRUE,B4,C4)</f>
        <v>Player_Dog</v>
      </c>
      <c r="B4" t="s">
        <v>7</v>
      </c>
      <c r="C4" s="9" t="s">
        <v>76</v>
      </c>
      <c r="D4" s="9" t="s">
        <v>116</v>
      </c>
      <c r="E4" s="9" t="s">
        <v>84</v>
      </c>
      <c r="F4" s="9" t="s">
        <v>118</v>
      </c>
      <c r="G4" s="9" t="s">
        <v>53</v>
      </c>
      <c r="H4" s="11" t="s">
        <v>115</v>
      </c>
      <c r="I4" s="11" t="s">
        <v>114</v>
      </c>
      <c r="J4" s="11" t="s">
        <v>61</v>
      </c>
      <c r="K4" s="9" t="s">
        <v>24</v>
      </c>
      <c r="L4" s="11" t="s">
        <v>88</v>
      </c>
      <c r="M4" s="9">
        <v>100</v>
      </c>
      <c r="N4" s="11" t="s">
        <v>103</v>
      </c>
    </row>
    <row r="5" spans="1:22">
      <c r="A5" s="7" t="str">
        <f>_xlfn.TEXTJOIN("_",TRUE,B5,C5)</f>
        <v>Player_Eagle</v>
      </c>
      <c r="B5" t="s">
        <v>7</v>
      </c>
      <c r="C5" s="9" t="s">
        <v>77</v>
      </c>
      <c r="D5" s="9" t="s">
        <v>116</v>
      </c>
      <c r="E5" s="9" t="s">
        <v>85</v>
      </c>
      <c r="F5" s="9" t="s">
        <v>119</v>
      </c>
      <c r="G5" s="9" t="s">
        <v>53</v>
      </c>
      <c r="H5" s="11" t="s">
        <v>115</v>
      </c>
      <c r="I5" s="11" t="s">
        <v>114</v>
      </c>
      <c r="J5" s="11" t="s">
        <v>61</v>
      </c>
      <c r="K5" s="9" t="s">
        <v>24</v>
      </c>
      <c r="L5" s="11" t="s">
        <v>89</v>
      </c>
      <c r="M5" s="9">
        <v>100</v>
      </c>
      <c r="N5" s="11" t="s">
        <v>103</v>
      </c>
    </row>
    <row r="6" spans="1:22">
      <c r="A6" s="7" t="str">
        <f>_xlfn.TEXTJOIN("_",TRUE,B6,C6)</f>
        <v>Player_Snake</v>
      </c>
      <c r="B6" t="s">
        <v>7</v>
      </c>
      <c r="C6" s="9" t="s">
        <v>78</v>
      </c>
      <c r="D6" s="9" t="s">
        <v>116</v>
      </c>
      <c r="E6" s="9" t="s">
        <v>86</v>
      </c>
      <c r="F6" s="9" t="s">
        <v>120</v>
      </c>
      <c r="G6" s="9" t="s">
        <v>53</v>
      </c>
      <c r="H6" s="11" t="s">
        <v>115</v>
      </c>
      <c r="I6" s="11" t="s">
        <v>114</v>
      </c>
      <c r="J6" s="11" t="s">
        <v>61</v>
      </c>
      <c r="K6" s="9" t="s">
        <v>24</v>
      </c>
      <c r="L6" s="11" t="s">
        <v>90</v>
      </c>
      <c r="M6" s="9">
        <v>100</v>
      </c>
      <c r="N6" s="11" t="s">
        <v>103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Enum!$H$2:$H$1017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98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67</v>
      </c>
      <c r="H3" t="s">
        <v>64</v>
      </c>
      <c r="I3" s="11" t="s">
        <v>115</v>
      </c>
      <c r="J3" s="11" t="s">
        <v>114</v>
      </c>
      <c r="K3" s="9" t="s">
        <v>53</v>
      </c>
      <c r="L3" t="s">
        <v>53</v>
      </c>
      <c r="M3" t="s">
        <v>11</v>
      </c>
      <c r="N3">
        <v>1</v>
      </c>
    </row>
    <row r="4" spans="1:22">
      <c r="A4" s="7" t="str">
        <f>_xlfn.TEXTJOIN("_",TRUE,B4,C4)</f>
        <v>Item_WoodStaff</v>
      </c>
      <c r="B4" t="s">
        <v>29</v>
      </c>
      <c r="C4" t="s">
        <v>62</v>
      </c>
      <c r="D4" s="9"/>
      <c r="E4" s="9" t="s">
        <v>13</v>
      </c>
      <c r="F4" s="2" t="s">
        <v>24</v>
      </c>
      <c r="G4" t="s">
        <v>67</v>
      </c>
      <c r="H4" t="s">
        <v>65</v>
      </c>
      <c r="I4" s="11" t="s">
        <v>115</v>
      </c>
      <c r="J4" s="11" t="s">
        <v>114</v>
      </c>
      <c r="K4" s="9" t="s">
        <v>53</v>
      </c>
      <c r="L4" t="s">
        <v>53</v>
      </c>
      <c r="M4" t="s">
        <v>11</v>
      </c>
      <c r="N4">
        <v>1</v>
      </c>
    </row>
    <row r="5" spans="1:22">
      <c r="A5" s="7" t="str">
        <f>_xlfn.TEXTJOIN("_",TRUE,B5,C5)</f>
        <v>Item_WoodBow</v>
      </c>
      <c r="B5" t="s">
        <v>29</v>
      </c>
      <c r="C5" t="s">
        <v>63</v>
      </c>
      <c r="D5" s="9"/>
      <c r="E5" s="9" t="s">
        <v>13</v>
      </c>
      <c r="F5" s="2" t="s">
        <v>24</v>
      </c>
      <c r="G5" t="s">
        <v>67</v>
      </c>
      <c r="H5" t="s">
        <v>66</v>
      </c>
      <c r="I5" s="11" t="s">
        <v>115</v>
      </c>
      <c r="J5" s="11" t="s">
        <v>114</v>
      </c>
      <c r="K5" s="9" t="s">
        <v>53</v>
      </c>
      <c r="L5" t="s">
        <v>53</v>
      </c>
      <c r="M5" t="s">
        <v>11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67</v>
      </c>
      <c r="H7" t="s">
        <v>121</v>
      </c>
      <c r="I7" s="11" t="s">
        <v>115</v>
      </c>
      <c r="J7" s="11" t="s">
        <v>114</v>
      </c>
      <c r="K7" s="9" t="s">
        <v>53</v>
      </c>
      <c r="L7" t="s">
        <v>53</v>
      </c>
      <c r="M7" t="s">
        <v>11</v>
      </c>
      <c r="N7">
        <v>1</v>
      </c>
    </row>
    <row r="8" spans="1:22">
      <c r="A8" s="7" t="str">
        <f>_xlfn.TEXTJOIN("_",TRUE,B8,C8)</f>
        <v>Item_Dog</v>
      </c>
      <c r="B8" t="s">
        <v>29</v>
      </c>
      <c r="C8" s="9" t="s">
        <v>76</v>
      </c>
      <c r="D8" s="9"/>
      <c r="E8" s="9" t="s">
        <v>7</v>
      </c>
      <c r="F8" s="9" t="s">
        <v>24</v>
      </c>
      <c r="G8" t="s">
        <v>67</v>
      </c>
      <c r="H8" t="s">
        <v>122</v>
      </c>
      <c r="I8" s="11" t="s">
        <v>115</v>
      </c>
      <c r="J8" s="11" t="s">
        <v>114</v>
      </c>
      <c r="K8" s="9" t="s">
        <v>53</v>
      </c>
      <c r="L8" t="s">
        <v>53</v>
      </c>
      <c r="M8" t="s">
        <v>11</v>
      </c>
      <c r="N8">
        <v>1</v>
      </c>
    </row>
    <row r="9" spans="1:22">
      <c r="A9" s="7" t="str">
        <f>_xlfn.TEXTJOIN("_",TRUE,B9,C9)</f>
        <v>Item_Eagle</v>
      </c>
      <c r="B9" t="s">
        <v>29</v>
      </c>
      <c r="C9" s="9" t="s">
        <v>77</v>
      </c>
      <c r="D9" s="9"/>
      <c r="E9" s="9" t="s">
        <v>7</v>
      </c>
      <c r="F9" s="9" t="s">
        <v>24</v>
      </c>
      <c r="G9" t="s">
        <v>67</v>
      </c>
      <c r="H9" t="s">
        <v>123</v>
      </c>
      <c r="I9" s="11" t="s">
        <v>115</v>
      </c>
      <c r="J9" s="11" t="s">
        <v>114</v>
      </c>
      <c r="K9" s="9" t="s">
        <v>53</v>
      </c>
      <c r="L9" t="s">
        <v>53</v>
      </c>
      <c r="M9" t="s">
        <v>11</v>
      </c>
      <c r="N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78</v>
      </c>
      <c r="D10" s="9"/>
      <c r="E10" s="9" t="s">
        <v>7</v>
      </c>
      <c r="F10" s="9" t="s">
        <v>24</v>
      </c>
      <c r="G10" t="s">
        <v>67</v>
      </c>
      <c r="H10" t="s">
        <v>124</v>
      </c>
      <c r="I10" s="11" t="s">
        <v>115</v>
      </c>
      <c r="J10" s="11" t="s">
        <v>114</v>
      </c>
      <c r="K10" s="9" t="s">
        <v>53</v>
      </c>
      <c r="L10" t="s">
        <v>53</v>
      </c>
      <c r="M10" t="s">
        <v>11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disablePrompts="1"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Enum!$H$2:$H$1017</xm:f>
          </x14:formula1>
          <xm:sqref>L6 P3:P7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100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109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110</v>
      </c>
      <c r="E2" s="6" t="s">
        <v>111</v>
      </c>
      <c r="F2" s="8" t="s">
        <v>103</v>
      </c>
      <c r="G2" s="8" t="s">
        <v>101</v>
      </c>
      <c r="H2" s="8" t="s">
        <v>102</v>
      </c>
      <c r="I2" s="8"/>
      <c r="J2" s="6" t="s">
        <v>107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108</v>
      </c>
      <c r="D3" s="9" t="s">
        <v>111</v>
      </c>
      <c r="E3" s="2" t="s">
        <v>106</v>
      </c>
      <c r="F3" s="1" t="s">
        <v>104</v>
      </c>
      <c r="G3" s="1" t="s">
        <v>104</v>
      </c>
      <c r="H3" s="1" t="s">
        <v>104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108</v>
      </c>
      <c r="D4" s="9" t="s">
        <v>103</v>
      </c>
      <c r="E4" s="1" t="s">
        <v>104</v>
      </c>
      <c r="F4" s="2" t="s">
        <v>106</v>
      </c>
      <c r="G4" s="1" t="s">
        <v>104</v>
      </c>
      <c r="H4" s="1" t="s">
        <v>104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108</v>
      </c>
      <c r="D5" s="9" t="s">
        <v>101</v>
      </c>
      <c r="E5" s="1" t="s">
        <v>104</v>
      </c>
      <c r="F5" s="1" t="s">
        <v>104</v>
      </c>
      <c r="G5" s="2" t="s">
        <v>106</v>
      </c>
      <c r="H5" s="1" t="s">
        <v>104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108</v>
      </c>
      <c r="D6" s="9" t="s">
        <v>102</v>
      </c>
      <c r="E6" s="1" t="s">
        <v>104</v>
      </c>
      <c r="F6" s="1" t="s">
        <v>104</v>
      </c>
      <c r="G6" s="1" t="s">
        <v>104</v>
      </c>
      <c r="H6" s="2" t="s">
        <v>106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60</v>
      </c>
      <c r="C3" s="1" t="s">
        <v>24</v>
      </c>
      <c r="D3" s="1" t="s">
        <v>24</v>
      </c>
      <c r="E3" t="s">
        <v>75</v>
      </c>
      <c r="F3" t="s">
        <v>68</v>
      </c>
    </row>
    <row r="4" spans="1:10">
      <c r="A4" s="7" t="str">
        <f t="shared" si="0"/>
        <v>Grade_Uncommon</v>
      </c>
      <c r="B4" t="s">
        <v>60</v>
      </c>
      <c r="C4" s="1" t="s">
        <v>69</v>
      </c>
      <c r="D4" s="1" t="s">
        <v>69</v>
      </c>
      <c r="E4" t="s">
        <v>75</v>
      </c>
      <c r="F4" t="s">
        <v>70</v>
      </c>
      <c r="I4" s="9"/>
      <c r="J4" s="9"/>
    </row>
    <row r="5" spans="1:10">
      <c r="A5" s="7" t="str">
        <f t="shared" si="0"/>
        <v>Grade_Rare</v>
      </c>
      <c r="B5" t="s">
        <v>60</v>
      </c>
      <c r="C5" s="1" t="s">
        <v>20</v>
      </c>
      <c r="D5" s="1" t="s">
        <v>20</v>
      </c>
      <c r="E5" t="s">
        <v>75</v>
      </c>
      <c r="F5" t="s">
        <v>71</v>
      </c>
      <c r="I5" s="9"/>
      <c r="J5" s="9"/>
    </row>
    <row r="6" spans="1:10">
      <c r="A6" s="7" t="str">
        <f t="shared" si="0"/>
        <v>Grade_Epic</v>
      </c>
      <c r="B6" t="s">
        <v>60</v>
      </c>
      <c r="C6" s="1" t="s">
        <v>21</v>
      </c>
      <c r="D6" s="1" t="s">
        <v>21</v>
      </c>
      <c r="E6" t="s">
        <v>75</v>
      </c>
      <c r="F6" t="s">
        <v>72</v>
      </c>
      <c r="I6" s="9"/>
      <c r="J6" s="9"/>
    </row>
    <row r="7" spans="1:10">
      <c r="A7" s="7" t="str">
        <f t="shared" si="0"/>
        <v>Grade_Unique</v>
      </c>
      <c r="B7" t="s">
        <v>60</v>
      </c>
      <c r="C7" s="1" t="s">
        <v>22</v>
      </c>
      <c r="D7" s="1" t="s">
        <v>22</v>
      </c>
      <c r="E7" t="s">
        <v>75</v>
      </c>
      <c r="F7" t="s">
        <v>73</v>
      </c>
      <c r="I7" s="9"/>
      <c r="J7" s="9"/>
    </row>
    <row r="8" spans="1:10">
      <c r="A8" s="7" t="str">
        <f t="shared" si="0"/>
        <v>Grade_Legend</v>
      </c>
      <c r="B8" t="s">
        <v>60</v>
      </c>
      <c r="C8" s="1" t="s">
        <v>23</v>
      </c>
      <c r="D8" s="1" t="s">
        <v>23</v>
      </c>
      <c r="E8" t="s">
        <v>75</v>
      </c>
      <c r="F8" t="s">
        <v>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170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I39" sqref="I39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59</v>
      </c>
      <c r="E2" s="6" t="s">
        <v>57</v>
      </c>
      <c r="F2" s="6" t="s">
        <v>170</v>
      </c>
    </row>
    <row r="3" spans="1:6">
      <c r="A3" s="7" t="str">
        <f>_xlfn.TEXTJOIN("_",TRUE,B3,C3)</f>
        <v>SynergeElement_Test</v>
      </c>
      <c r="B3" t="s">
        <v>58</v>
      </c>
      <c r="C3" t="s">
        <v>55</v>
      </c>
      <c r="D3" s="9" t="s">
        <v>45</v>
      </c>
      <c r="E3">
        <v>3</v>
      </c>
      <c r="F3" t="s">
        <v>171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9"/>
  <sheetViews>
    <sheetView tabSelected="1" workbookViewId="0">
      <selection activeCell="O22" sqref="O22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79</v>
      </c>
      <c r="H1" s="8" t="s">
        <v>0</v>
      </c>
      <c r="I1" s="8" t="s">
        <v>0</v>
      </c>
      <c r="J1" s="5" t="s">
        <v>126</v>
      </c>
      <c r="K1" s="5" t="s">
        <v>9</v>
      </c>
      <c r="L1" s="8" t="s">
        <v>128</v>
      </c>
      <c r="M1" s="5" t="s">
        <v>9</v>
      </c>
      <c r="N1" s="8" t="s">
        <v>132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143</v>
      </c>
      <c r="H2" s="8" t="s">
        <v>32</v>
      </c>
      <c r="I2" s="8" t="s">
        <v>33</v>
      </c>
      <c r="J2" s="6" t="s">
        <v>145</v>
      </c>
      <c r="K2" s="6" t="s">
        <v>140</v>
      </c>
      <c r="L2" s="8" t="s">
        <v>129</v>
      </c>
      <c r="M2" s="8" t="s">
        <v>141</v>
      </c>
      <c r="N2" s="8" t="s">
        <v>133</v>
      </c>
      <c r="O2" s="8" t="s">
        <v>142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155</v>
      </c>
      <c r="J3" s="9"/>
      <c r="K3" s="2" t="s">
        <v>138</v>
      </c>
      <c r="M3" s="2" t="s">
        <v>138</v>
      </c>
      <c r="N3" s="11"/>
      <c r="O3" s="2" t="s">
        <v>138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153</v>
      </c>
      <c r="R5" s="13"/>
      <c r="S5" s="1"/>
    </row>
    <row r="6" spans="1:31">
      <c r="A6" s="7" t="s">
        <v>153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125</v>
      </c>
      <c r="E7" s="9">
        <v>1</v>
      </c>
      <c r="F7" s="9"/>
      <c r="G7" s="9">
        <v>10</v>
      </c>
      <c r="H7" t="s">
        <v>67</v>
      </c>
      <c r="I7" t="s">
        <v>65</v>
      </c>
      <c r="J7" s="9" t="s">
        <v>127</v>
      </c>
      <c r="K7" s="2"/>
      <c r="L7" t="s">
        <v>27</v>
      </c>
      <c r="N7" s="11" t="s">
        <v>125</v>
      </c>
      <c r="O7" s="11" t="s">
        <v>148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154</v>
      </c>
      <c r="R9" s="13"/>
      <c r="S9" s="1"/>
    </row>
    <row r="10" spans="1:31">
      <c r="A10" s="7" t="s">
        <v>154</v>
      </c>
    </row>
    <row r="11" spans="1:31">
      <c r="A11" s="7" t="str">
        <f>_xlfn.TEXTJOIN("_",TRUE,B11:F11)</f>
        <v>Skill_Projectile_Hit_1</v>
      </c>
      <c r="B11" t="s">
        <v>26</v>
      </c>
      <c r="C11" t="s">
        <v>125</v>
      </c>
      <c r="D11" s="9" t="s">
        <v>139</v>
      </c>
      <c r="E11" s="9">
        <v>1</v>
      </c>
      <c r="F11" s="9"/>
      <c r="G11" s="9">
        <v>1</v>
      </c>
      <c r="H11" t="s">
        <v>67</v>
      </c>
      <c r="I11" t="s">
        <v>66</v>
      </c>
      <c r="J11" s="9" t="s">
        <v>127</v>
      </c>
      <c r="K11" s="2"/>
      <c r="L11" t="s">
        <v>130</v>
      </c>
      <c r="M11">
        <v>0.6</v>
      </c>
      <c r="N11" s="11" t="s">
        <v>134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144</v>
      </c>
      <c r="E12" s="9">
        <v>1</v>
      </c>
      <c r="F12" s="9"/>
      <c r="G12" s="9">
        <v>1</v>
      </c>
      <c r="H12" t="s">
        <v>67</v>
      </c>
      <c r="I12" t="s">
        <v>65</v>
      </c>
      <c r="J12" s="9" t="s">
        <v>127</v>
      </c>
      <c r="L12" t="s">
        <v>130</v>
      </c>
      <c r="M12">
        <v>0.1</v>
      </c>
      <c r="N12" s="11" t="s">
        <v>134</v>
      </c>
      <c r="O12" s="11">
        <v>5</v>
      </c>
    </row>
    <row r="13" spans="1:31">
      <c r="A13" s="7" t="s">
        <v>2</v>
      </c>
    </row>
    <row r="14" spans="1:31">
      <c r="A14" s="7" t="s">
        <v>156</v>
      </c>
    </row>
    <row r="15" spans="1:31">
      <c r="A15" s="7" t="s">
        <v>156</v>
      </c>
    </row>
    <row r="16" spans="1:31">
      <c r="A16" s="7" t="str">
        <f>_xlfn.TEXTJOIN("_",TRUE,B16:F16)</f>
        <v>Skill_Stat_1</v>
      </c>
      <c r="B16" t="s">
        <v>26</v>
      </c>
      <c r="C16" t="s">
        <v>161</v>
      </c>
      <c r="D16" s="9"/>
      <c r="E16" s="9">
        <v>1</v>
      </c>
      <c r="F16" s="9"/>
      <c r="G16" s="9">
        <v>1</v>
      </c>
      <c r="H16" t="s">
        <v>67</v>
      </c>
      <c r="I16" t="s">
        <v>66</v>
      </c>
      <c r="J16" s="9" t="s">
        <v>127</v>
      </c>
      <c r="K16" s="2"/>
      <c r="L16" t="s">
        <v>131</v>
      </c>
      <c r="M16">
        <v>0.1</v>
      </c>
      <c r="N16" s="11" t="s">
        <v>162</v>
      </c>
      <c r="O16" s="11" t="s">
        <v>163</v>
      </c>
    </row>
    <row r="18" spans="1:15">
      <c r="A18" s="20" t="s">
        <v>2</v>
      </c>
    </row>
    <row r="19" spans="1:15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172</v>
      </c>
      <c r="E19" s="9">
        <v>1</v>
      </c>
      <c r="F19" s="9"/>
      <c r="G19" s="9">
        <v>1</v>
      </c>
      <c r="H19" t="s">
        <v>67</v>
      </c>
      <c r="I19" t="s">
        <v>66</v>
      </c>
      <c r="J19" s="9" t="s">
        <v>127</v>
      </c>
      <c r="K19" s="2"/>
      <c r="L19" t="s">
        <v>131</v>
      </c>
      <c r="M19">
        <v>0.1</v>
      </c>
      <c r="N19" s="11" t="s">
        <v>172</v>
      </c>
      <c r="O19" s="11" t="s">
        <v>171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L16" sqref="L16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79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167</v>
      </c>
      <c r="L1" s="5" t="s">
        <v>9</v>
      </c>
    </row>
    <row r="2" spans="1:12">
      <c r="A2" s="7"/>
      <c r="B2" s="8"/>
      <c r="C2" s="6"/>
      <c r="D2" s="6"/>
      <c r="E2" s="6"/>
      <c r="F2" s="6" t="s">
        <v>151</v>
      </c>
      <c r="G2" s="6" t="s">
        <v>10</v>
      </c>
      <c r="H2" s="6" t="s">
        <v>152</v>
      </c>
      <c r="I2" s="6" t="s">
        <v>32</v>
      </c>
      <c r="J2" s="6" t="s">
        <v>33</v>
      </c>
      <c r="K2" s="19" t="s">
        <v>168</v>
      </c>
      <c r="L2" s="6" t="s">
        <v>169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116</v>
      </c>
      <c r="J3" s="9" t="s">
        <v>117</v>
      </c>
      <c r="K3" s="1" t="s">
        <v>164</v>
      </c>
      <c r="L3" t="s">
        <v>163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149</v>
      </c>
      <c r="E2" s="6" t="s">
        <v>32</v>
      </c>
      <c r="F2" s="6" t="s">
        <v>82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125</v>
      </c>
      <c r="C3" s="9" t="s">
        <v>49</v>
      </c>
      <c r="D3" s="9">
        <v>1</v>
      </c>
      <c r="E3" s="9" t="s">
        <v>116</v>
      </c>
      <c r="F3" s="9" t="s">
        <v>146</v>
      </c>
      <c r="G3" s="9" t="s">
        <v>117</v>
      </c>
      <c r="H3" s="9" t="s">
        <v>147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2026-04-02T13:02:37Z</dcterms:modified>
</cp:coreProperties>
</file>